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<sst xmlns="http://schemas.openxmlformats.org/spreadsheetml/2006/main" count="416" uniqueCount="204">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</sst>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workbookViewId="0">
      <pane xSplit="1" ySplit="1" topLeftCell="B2" activePane="bottomRight" state="frozen"/>
      <selection pane="topRight" activeCell="B1" sqref="B1"/>
      <selection pane="bottomLeft" activeCell="A2" sqref="A2"/>
      <selection pane="bottomRight" activeCell="L108" sqref="L108"/>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147</v>
      </c>
      <c r="J1" s="3" t="s">
        <v>181</v>
      </c>
      <c r="K1" s="3" t="s">
        <v>202</v>
      </c>
      <c r="L1" s="24" t="s">
        <v>8</v>
      </c>
    </row>
    <row r="2" spans="1:17" s="13" customFormat="1" x14ac:dyDescent="0.25">
      <c r="A2" s="5">
        <v>1</v>
      </c>
      <c r="B2" s="6" t="s">
        <v>39</v>
      </c>
      <c r="C2" s="6" t="s">
        <v>40</v>
      </c>
      <c r="D2" s="7" t="s">
        <v>41</v>
      </c>
      <c r="E2" s="7" t="s">
        <v>12</v>
      </c>
      <c r="F2" s="8">
        <v>2500</v>
      </c>
      <c r="G2" s="8">
        <v>2500</v>
      </c>
      <c r="H2" s="18">
        <v>2500</v>
      </c>
      <c r="I2" s="18">
        <v>2500</v>
      </c>
      <c r="J2" s="18">
        <v>2500</v>
      </c>
      <c r="K2" s="36">
        <v>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36">
        <v>0</v>
      </c>
      <c r="L3" s="9" t="s">
        <v>195</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36">
        <v>0</v>
      </c>
      <c r="L4" s="9" t="s">
        <v>170</v>
      </c>
      <c r="M4" s="10"/>
      <c r="N4" s="11"/>
      <c r="O4" s="11"/>
      <c r="Q4" s="12"/>
    </row>
    <row r="5" spans="1:17" s="13" customFormat="1" x14ac:dyDescent="0.25">
      <c r="A5" s="5">
        <f t="shared" si="0"/>
        <v>4</v>
      </c>
      <c r="B5" s="6" t="s">
        <v>73</v>
      </c>
      <c r="C5" s="6" t="s">
        <v>74</v>
      </c>
      <c r="D5" s="7" t="s">
        <v>41</v>
      </c>
      <c r="E5" s="7"/>
      <c r="F5" s="8">
        <v>10000</v>
      </c>
      <c r="G5" s="8">
        <v>10000</v>
      </c>
      <c r="H5" s="9">
        <v>10000</v>
      </c>
      <c r="I5" s="9">
        <v>10000</v>
      </c>
      <c r="J5" s="9">
        <v>10000</v>
      </c>
      <c r="K5" s="36">
        <v>0</v>
      </c>
      <c r="L5" s="9"/>
      <c r="M5" s="10"/>
      <c r="N5" s="11"/>
      <c r="O5" s="11"/>
      <c r="Q5" s="12"/>
    </row>
    <row r="6" spans="1:17" s="13" customFormat="1" ht="60" x14ac:dyDescent="0.25">
      <c r="A6" s="5">
        <f t="shared" si="0"/>
        <v>5</v>
      </c>
      <c r="B6" s="6" t="s">
        <v>83</v>
      </c>
      <c r="C6" s="6" t="s">
        <v>84</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123</v>
      </c>
      <c r="C7" s="6" t="s">
        <v>124</v>
      </c>
      <c r="D7" s="7" t="s">
        <v>41</v>
      </c>
      <c r="E7" s="7" t="s">
        <v>103</v>
      </c>
      <c r="F7" s="20">
        <v>0</v>
      </c>
      <c r="G7" s="8">
        <v>1500</v>
      </c>
      <c r="H7" s="14">
        <v>4000</v>
      </c>
      <c r="I7" s="8">
        <v>3000</v>
      </c>
      <c r="J7" s="8">
        <v>1500</v>
      </c>
      <c r="K7" s="36">
        <v>0</v>
      </c>
      <c r="L7" s="49" t="s">
        <v>171</v>
      </c>
      <c r="M7" s="10"/>
      <c r="N7" s="11"/>
      <c r="O7" s="11"/>
      <c r="P7" s="11"/>
      <c r="Q7" s="12"/>
    </row>
    <row r="8" spans="1:17" s="13" customFormat="1" ht="32.25" x14ac:dyDescent="0.25">
      <c r="A8" s="5">
        <f t="shared" si="0"/>
        <v>7</v>
      </c>
      <c r="B8" s="6" t="s">
        <v>166</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92</v>
      </c>
      <c r="C11" s="6" t="s">
        <v>162</v>
      </c>
      <c r="D11" s="7" t="s">
        <v>23</v>
      </c>
      <c r="E11" s="7" t="s">
        <v>12</v>
      </c>
      <c r="F11" s="8">
        <v>2500</v>
      </c>
      <c r="G11" s="8">
        <v>2500</v>
      </c>
      <c r="H11" s="9">
        <v>2500</v>
      </c>
      <c r="I11" s="9">
        <v>2500</v>
      </c>
      <c r="J11" s="9">
        <v>2500</v>
      </c>
      <c r="K11" s="36">
        <v>0</v>
      </c>
      <c r="L11" s="9"/>
      <c r="M11" s="10"/>
      <c r="N11" s="11"/>
      <c r="O11" s="11"/>
      <c r="P11" s="11"/>
      <c r="Q11" s="12"/>
    </row>
    <row r="12" spans="1:17" s="13" customFormat="1" ht="60" x14ac:dyDescent="0.25">
      <c r="A12" s="5">
        <f t="shared" si="0"/>
        <v>11</v>
      </c>
      <c r="B12" s="6" t="s">
        <v>133</v>
      </c>
      <c r="C12" s="6" t="s">
        <v>134</v>
      </c>
      <c r="D12" s="7" t="s">
        <v>23</v>
      </c>
      <c r="E12" s="7" t="s">
        <v>12</v>
      </c>
      <c r="F12" s="8">
        <v>0</v>
      </c>
      <c r="G12" s="8">
        <v>2500</v>
      </c>
      <c r="H12" s="8">
        <v>10000</v>
      </c>
      <c r="I12" s="8">
        <v>2500</v>
      </c>
      <c r="J12" s="8">
        <v>2500</v>
      </c>
      <c r="K12" s="36">
        <v>0</v>
      </c>
      <c r="L12" s="24" t="s">
        <v>168</v>
      </c>
      <c r="M12" s="10"/>
      <c r="N12" s="11"/>
      <c r="O12" s="11"/>
      <c r="P12" s="11"/>
      <c r="Q12" s="12"/>
    </row>
    <row r="13" spans="1:17" s="13" customFormat="1" ht="30" x14ac:dyDescent="0.25">
      <c r="A13" s="5">
        <f t="shared" si="0"/>
        <v>12</v>
      </c>
      <c r="B13" s="6" t="s">
        <v>160</v>
      </c>
      <c r="C13" s="6" t="s">
        <v>20</v>
      </c>
      <c r="D13" s="7" t="s">
        <v>21</v>
      </c>
      <c r="E13" s="7" t="s">
        <v>12</v>
      </c>
      <c r="F13" s="8">
        <v>2500</v>
      </c>
      <c r="G13" s="8">
        <v>2500</v>
      </c>
      <c r="H13" s="9">
        <v>7500</v>
      </c>
      <c r="I13" s="9">
        <v>2500</v>
      </c>
      <c r="J13" s="9">
        <v>7500</v>
      </c>
      <c r="K13" s="9">
        <v>2500</v>
      </c>
      <c r="L13" s="9" t="s">
        <v>194</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174</v>
      </c>
      <c r="M14" s="10"/>
      <c r="N14" s="11"/>
      <c r="O14" s="11"/>
      <c r="P14" s="11"/>
      <c r="Q14" s="12"/>
    </row>
    <row r="15" spans="1:17" s="13" customFormat="1" x14ac:dyDescent="0.25">
      <c r="A15" s="51">
        <f t="shared" si="0"/>
        <v>14</v>
      </c>
      <c r="B15" s="52" t="s">
        <v>185</v>
      </c>
      <c r="C15" s="52" t="s">
        <v>183</v>
      </c>
      <c r="D15" s="48" t="s">
        <v>34</v>
      </c>
      <c r="E15" s="48" t="s">
        <v>103</v>
      </c>
      <c r="F15" s="8" t="s">
        <v>159</v>
      </c>
      <c r="G15" s="8" t="s">
        <v>159</v>
      </c>
      <c r="H15" s="9" t="s">
        <v>159</v>
      </c>
      <c r="I15" s="9" t="s">
        <v>159</v>
      </c>
      <c r="J15" s="9">
        <v>1500</v>
      </c>
      <c r="K15" s="36">
        <v>0</v>
      </c>
      <c r="L15" s="9"/>
      <c r="M15" s="10"/>
      <c r="N15" s="11"/>
      <c r="O15" s="11"/>
      <c r="P15" s="11"/>
      <c r="Q15" s="12"/>
    </row>
    <row r="16" spans="1:17" s="13" customFormat="1" x14ac:dyDescent="0.25">
      <c r="A16" s="51">
        <f t="shared" si="0"/>
        <v>15</v>
      </c>
      <c r="B16" s="52" t="s">
        <v>184</v>
      </c>
      <c r="C16" s="52" t="s">
        <v>183</v>
      </c>
      <c r="D16" s="48" t="s">
        <v>34</v>
      </c>
      <c r="E16" s="48" t="s">
        <v>103</v>
      </c>
      <c r="F16" s="8"/>
      <c r="G16" s="8"/>
      <c r="H16" s="9"/>
      <c r="I16" s="9"/>
      <c r="J16" s="9">
        <v>1500</v>
      </c>
      <c r="K16" s="36">
        <v>0</v>
      </c>
      <c r="L16" s="9"/>
      <c r="M16" s="10"/>
      <c r="N16" s="11"/>
      <c r="O16" s="11"/>
      <c r="P16" s="11"/>
      <c r="Q16" s="12"/>
    </row>
    <row r="17" spans="1:17" s="13" customFormat="1" x14ac:dyDescent="0.25">
      <c r="A17" s="51">
        <f t="shared" si="0"/>
        <v>16</v>
      </c>
      <c r="B17" s="52" t="s">
        <v>186</v>
      </c>
      <c r="C17" s="52" t="s">
        <v>183</v>
      </c>
      <c r="D17" s="48" t="s">
        <v>34</v>
      </c>
      <c r="E17" s="48" t="s">
        <v>103</v>
      </c>
      <c r="F17" s="8"/>
      <c r="G17" s="8"/>
      <c r="H17" s="9"/>
      <c r="I17" s="9"/>
      <c r="J17" s="9">
        <v>1500</v>
      </c>
      <c r="K17" s="36">
        <v>0</v>
      </c>
      <c r="L17" s="9"/>
      <c r="M17" s="10"/>
      <c r="N17" s="11"/>
      <c r="O17" s="11"/>
      <c r="P17" s="11"/>
      <c r="Q17" s="12"/>
    </row>
    <row r="18" spans="1:17" s="13" customFormat="1" x14ac:dyDescent="0.25">
      <c r="A18" s="5">
        <f t="shared" si="0"/>
        <v>17</v>
      </c>
      <c r="B18" s="6" t="s">
        <v>82</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169</v>
      </c>
      <c r="C19" s="6" t="s">
        <v>130</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187</v>
      </c>
      <c r="C20" s="52" t="s">
        <v>183</v>
      </c>
      <c r="D20" s="48" t="s">
        <v>34</v>
      </c>
      <c r="E20" s="48" t="s">
        <v>103</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182</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36">
        <v>0</v>
      </c>
      <c r="L22" s="9" t="s">
        <v>172</v>
      </c>
      <c r="M22" s="10"/>
      <c r="N22" s="11"/>
      <c r="O22" s="11"/>
      <c r="P22" s="11"/>
      <c r="Q22" s="12"/>
    </row>
    <row r="23" spans="1:17" s="13" customFormat="1" ht="30" x14ac:dyDescent="0.25">
      <c r="A23" s="5">
        <f t="shared" si="0"/>
        <v>22</v>
      </c>
      <c r="B23" s="6" t="s">
        <v>101</v>
      </c>
      <c r="C23" s="6" t="s">
        <v>102</v>
      </c>
      <c r="D23" s="7" t="s">
        <v>34</v>
      </c>
      <c r="E23" s="7" t="s">
        <v>103</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104</v>
      </c>
      <c r="C24" s="6" t="s">
        <v>105</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121</v>
      </c>
      <c r="C25" s="6" t="s">
        <v>122</v>
      </c>
      <c r="D25" s="7" t="s">
        <v>34</v>
      </c>
      <c r="E25" s="7" t="s">
        <v>103</v>
      </c>
      <c r="F25" s="8">
        <v>0</v>
      </c>
      <c r="G25" s="8">
        <v>1875</v>
      </c>
      <c r="H25" s="22">
        <v>1500</v>
      </c>
      <c r="I25" s="8">
        <v>1500</v>
      </c>
      <c r="J25" s="20">
        <v>0</v>
      </c>
      <c r="K25" s="36">
        <v>0</v>
      </c>
      <c r="L25" s="24"/>
      <c r="M25" s="10"/>
      <c r="N25" s="11"/>
      <c r="O25" s="11"/>
      <c r="P25" s="11"/>
      <c r="Q25" s="12"/>
    </row>
    <row r="26" spans="1:17" s="13" customFormat="1" x14ac:dyDescent="0.25">
      <c r="A26" s="5">
        <f t="shared" si="0"/>
        <v>25</v>
      </c>
      <c r="B26" s="6" t="s">
        <v>142</v>
      </c>
      <c r="C26" s="6" t="s">
        <v>143</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36">
        <v>0</v>
      </c>
      <c r="L28" s="9"/>
      <c r="M28" s="10"/>
      <c r="N28" s="11"/>
      <c r="O28" s="11"/>
      <c r="P28" s="11"/>
      <c r="Q28" s="12"/>
    </row>
    <row r="29" spans="1:17" s="13" customFormat="1" ht="32.25" x14ac:dyDescent="0.25">
      <c r="A29" s="5">
        <f t="shared" si="0"/>
        <v>28</v>
      </c>
      <c r="B29" s="6" t="s">
        <v>76</v>
      </c>
      <c r="C29" s="6" t="s">
        <v>77</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188</v>
      </c>
      <c r="C30" s="52" t="s">
        <v>189</v>
      </c>
      <c r="D30" s="48"/>
      <c r="E30" s="48"/>
      <c r="F30" s="8"/>
      <c r="G30" s="8"/>
      <c r="H30" s="9"/>
      <c r="I30" s="9"/>
      <c r="J30" s="9">
        <v>7500</v>
      </c>
      <c r="K30" s="36">
        <v>0</v>
      </c>
      <c r="L30" s="9"/>
      <c r="M30" s="10"/>
      <c r="N30" s="11"/>
      <c r="O30" s="11"/>
      <c r="P30" s="11"/>
      <c r="Q30" s="12"/>
    </row>
    <row r="31" spans="1:17" s="13" customFormat="1" ht="30" x14ac:dyDescent="0.25">
      <c r="A31" s="5">
        <f t="shared" si="0"/>
        <v>30</v>
      </c>
      <c r="B31" s="6" t="s">
        <v>177</v>
      </c>
      <c r="C31" s="6" t="s">
        <v>109</v>
      </c>
      <c r="D31" s="7" t="s">
        <v>17</v>
      </c>
      <c r="E31" s="7" t="s">
        <v>12</v>
      </c>
      <c r="F31" s="8">
        <v>5000</v>
      </c>
      <c r="G31" s="8">
        <v>5000</v>
      </c>
      <c r="H31" s="8">
        <v>5000</v>
      </c>
      <c r="I31" s="8">
        <v>5000</v>
      </c>
      <c r="J31" s="8">
        <v>5000</v>
      </c>
      <c r="K31" s="36">
        <v>0</v>
      </c>
      <c r="L31" s="24" t="s">
        <v>153</v>
      </c>
      <c r="M31" s="10"/>
      <c r="N31" s="11"/>
      <c r="O31" s="11"/>
      <c r="P31" s="11"/>
      <c r="Q31" s="12"/>
    </row>
    <row r="32" spans="1:17" s="13" customFormat="1" ht="30" x14ac:dyDescent="0.25">
      <c r="A32" s="5">
        <f t="shared" si="0"/>
        <v>31</v>
      </c>
      <c r="B32" s="6" t="s">
        <v>113</v>
      </c>
      <c r="C32" s="6" t="s">
        <v>114</v>
      </c>
      <c r="D32" s="7" t="s">
        <v>17</v>
      </c>
      <c r="E32" s="7" t="s">
        <v>103</v>
      </c>
      <c r="F32" s="8">
        <v>0</v>
      </c>
      <c r="G32" s="8">
        <v>1500</v>
      </c>
      <c r="H32" s="22">
        <v>1500</v>
      </c>
      <c r="I32" s="22">
        <v>1500</v>
      </c>
      <c r="J32" s="22">
        <v>1500</v>
      </c>
      <c r="K32" s="36">
        <v>0</v>
      </c>
      <c r="L32" s="24"/>
      <c r="M32" s="10"/>
      <c r="N32" s="11"/>
      <c r="O32" s="11"/>
      <c r="P32" s="11"/>
      <c r="Q32" s="12"/>
    </row>
    <row r="33" spans="1:17" s="13" customFormat="1" ht="30" x14ac:dyDescent="0.25">
      <c r="A33" s="5">
        <f t="shared" si="0"/>
        <v>32</v>
      </c>
      <c r="B33" s="6" t="s">
        <v>116</v>
      </c>
      <c r="C33" s="6" t="s">
        <v>117</v>
      </c>
      <c r="D33" s="7" t="s">
        <v>17</v>
      </c>
      <c r="E33" s="7" t="s">
        <v>103</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119</v>
      </c>
      <c r="C34" s="6" t="s">
        <v>120</v>
      </c>
      <c r="D34" s="7" t="s">
        <v>17</v>
      </c>
      <c r="E34" s="7" t="s">
        <v>103</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154</v>
      </c>
      <c r="C35" s="6" t="s">
        <v>120</v>
      </c>
      <c r="D35" s="7" t="s">
        <v>17</v>
      </c>
      <c r="E35" s="7" t="s">
        <v>103</v>
      </c>
      <c r="F35" s="8">
        <v>0</v>
      </c>
      <c r="G35" s="8">
        <v>1500</v>
      </c>
      <c r="H35" s="8">
        <v>1500</v>
      </c>
      <c r="I35" s="8">
        <v>1500</v>
      </c>
      <c r="J35" s="8">
        <v>1500</v>
      </c>
      <c r="K35" s="36">
        <v>0</v>
      </c>
      <c r="L35" s="24"/>
      <c r="M35" s="10"/>
      <c r="N35" s="11"/>
      <c r="O35" s="11"/>
      <c r="P35" s="11"/>
      <c r="Q35" s="12"/>
    </row>
    <row r="36" spans="1:17" s="13" customFormat="1" ht="30" x14ac:dyDescent="0.25">
      <c r="A36" s="5">
        <f t="shared" si="1"/>
        <v>35</v>
      </c>
      <c r="B36" s="6" t="s">
        <v>131</v>
      </c>
      <c r="C36" s="6" t="s">
        <v>132</v>
      </c>
      <c r="D36" s="7" t="s">
        <v>17</v>
      </c>
      <c r="E36" s="7" t="s">
        <v>103</v>
      </c>
      <c r="F36" s="8">
        <v>0</v>
      </c>
      <c r="G36" s="8">
        <v>1500</v>
      </c>
      <c r="H36" s="20">
        <v>0</v>
      </c>
      <c r="I36" s="20">
        <v>0</v>
      </c>
      <c r="J36" s="20">
        <v>0</v>
      </c>
      <c r="K36" s="36">
        <v>0</v>
      </c>
      <c r="L36" s="24"/>
      <c r="M36" s="10"/>
      <c r="N36" s="11"/>
      <c r="O36" s="11"/>
      <c r="P36" s="11"/>
      <c r="Q36" s="12"/>
    </row>
    <row r="37" spans="1:17" s="13" customFormat="1" x14ac:dyDescent="0.25">
      <c r="A37" s="39">
        <f t="shared" si="1"/>
        <v>36</v>
      </c>
      <c r="B37" s="40" t="s">
        <v>158</v>
      </c>
      <c r="C37" s="40"/>
      <c r="D37" s="41"/>
      <c r="E37" s="41"/>
      <c r="F37" s="38"/>
      <c r="G37" s="38"/>
      <c r="H37" s="38"/>
      <c r="I37" s="38"/>
      <c r="J37" s="38"/>
      <c r="K37" s="36">
        <v>0</v>
      </c>
      <c r="L37" s="44"/>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197</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146</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196</v>
      </c>
      <c r="M40" s="10"/>
      <c r="N40" s="11"/>
      <c r="O40" s="11"/>
      <c r="P40" s="11"/>
      <c r="Q40" s="12"/>
    </row>
    <row r="41" spans="1:17" s="13" customFormat="1" ht="15" customHeight="1" x14ac:dyDescent="0.25">
      <c r="A41" s="39">
        <f t="shared" si="1"/>
        <v>40</v>
      </c>
      <c r="B41" s="41" t="s">
        <v>158</v>
      </c>
      <c r="C41" s="40"/>
      <c r="D41" s="41"/>
      <c r="E41" s="41"/>
      <c r="F41" s="38"/>
      <c r="G41" s="38"/>
      <c r="H41" s="43"/>
      <c r="I41" s="43"/>
      <c r="J41" s="43"/>
      <c r="K41" s="36">
        <v>0</v>
      </c>
      <c r="L41" s="42"/>
      <c r="M41" s="10"/>
      <c r="N41" s="11"/>
      <c r="O41" s="11"/>
      <c r="P41" s="11"/>
      <c r="Q41" s="12"/>
    </row>
    <row r="42" spans="1:17" s="13" customFormat="1" ht="15" customHeight="1" x14ac:dyDescent="0.25">
      <c r="A42" s="39">
        <f t="shared" si="1"/>
        <v>41</v>
      </c>
      <c r="B42" s="41" t="s">
        <v>158</v>
      </c>
      <c r="C42" s="40"/>
      <c r="D42" s="41"/>
      <c r="E42" s="41"/>
      <c r="F42" s="38"/>
      <c r="G42" s="38"/>
      <c r="H42" s="43"/>
      <c r="I42" s="43"/>
      <c r="J42" s="43"/>
      <c r="K42" s="36">
        <v>0</v>
      </c>
      <c r="L42" s="42"/>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75</v>
      </c>
      <c r="C45" s="6" t="s">
        <v>30</v>
      </c>
      <c r="D45" s="7" t="s">
        <v>31</v>
      </c>
      <c r="E45" s="7" t="s">
        <v>12</v>
      </c>
      <c r="F45" s="8">
        <v>2500.59</v>
      </c>
      <c r="G45" s="8">
        <v>2501.1799999999998</v>
      </c>
      <c r="H45" s="9">
        <v>7500</v>
      </c>
      <c r="I45" s="9">
        <v>2500</v>
      </c>
      <c r="J45" s="9">
        <v>7500</v>
      </c>
      <c r="K45" s="36">
        <v>0</v>
      </c>
      <c r="L45" s="9" t="s">
        <v>199</v>
      </c>
      <c r="M45" s="10"/>
      <c r="N45" s="11"/>
      <c r="O45" s="11"/>
      <c r="P45" s="11"/>
      <c r="Q45" s="12"/>
    </row>
    <row r="46" spans="1:17" s="13" customFormat="1" x14ac:dyDescent="0.25">
      <c r="A46" s="5">
        <f t="shared" si="1"/>
        <v>45</v>
      </c>
      <c r="B46" s="6" t="s">
        <v>79</v>
      </c>
      <c r="C46" s="6" t="s">
        <v>129</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88</v>
      </c>
      <c r="C47" s="6" t="s">
        <v>89</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90</v>
      </c>
      <c r="C48" s="6" t="s">
        <v>91</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95</v>
      </c>
      <c r="C49" s="6" t="s">
        <v>96</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97</v>
      </c>
      <c r="C50" s="6" t="s">
        <v>98</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99</v>
      </c>
      <c r="C51" s="6" t="s">
        <v>30</v>
      </c>
      <c r="D51" s="7" t="s">
        <v>31</v>
      </c>
      <c r="E51" s="7" t="s">
        <v>12</v>
      </c>
      <c r="F51" s="8">
        <v>2500</v>
      </c>
      <c r="G51" s="8">
        <v>2500</v>
      </c>
      <c r="H51" s="18">
        <v>2500</v>
      </c>
      <c r="I51" s="18">
        <v>2500</v>
      </c>
      <c r="J51" s="36">
        <v>0</v>
      </c>
      <c r="K51" s="36">
        <v>0</v>
      </c>
      <c r="L51" s="9"/>
      <c r="M51" s="10"/>
      <c r="N51" s="11"/>
      <c r="O51" s="11"/>
      <c r="P51" s="11"/>
      <c r="Q51" s="12"/>
    </row>
    <row r="52" spans="1:17" s="13" customFormat="1" ht="30" x14ac:dyDescent="0.25">
      <c r="A52" s="5">
        <f t="shared" si="1"/>
        <v>51</v>
      </c>
      <c r="B52" s="6" t="s">
        <v>106</v>
      </c>
      <c r="C52" s="6" t="s">
        <v>107</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108</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161</v>
      </c>
      <c r="C54" s="6" t="s">
        <v>115</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126</v>
      </c>
      <c r="C55" s="6" t="s">
        <v>135</v>
      </c>
      <c r="D55" s="7" t="s">
        <v>31</v>
      </c>
      <c r="E55" s="7" t="s">
        <v>12</v>
      </c>
      <c r="F55" s="8">
        <v>0</v>
      </c>
      <c r="G55" s="8">
        <v>2500</v>
      </c>
      <c r="H55" s="14">
        <v>5000</v>
      </c>
      <c r="I55" s="8">
        <v>3500</v>
      </c>
      <c r="J55" s="8">
        <v>7500</v>
      </c>
      <c r="K55" s="36">
        <v>0</v>
      </c>
      <c r="L55" s="24" t="s">
        <v>201</v>
      </c>
      <c r="M55" s="10"/>
      <c r="N55" s="11"/>
      <c r="O55" s="11"/>
      <c r="P55" s="11"/>
      <c r="Q55" s="12"/>
    </row>
    <row r="56" spans="1:17" s="13" customFormat="1" ht="30" x14ac:dyDescent="0.25">
      <c r="A56" s="5">
        <f t="shared" si="1"/>
        <v>55</v>
      </c>
      <c r="B56" s="6" t="s">
        <v>127</v>
      </c>
      <c r="C56" s="6" t="s">
        <v>128</v>
      </c>
      <c r="D56" s="7" t="s">
        <v>31</v>
      </c>
      <c r="E56" s="7" t="s">
        <v>12</v>
      </c>
      <c r="F56" s="8">
        <v>0</v>
      </c>
      <c r="G56" s="8">
        <v>2500</v>
      </c>
      <c r="H56" s="8">
        <v>1500</v>
      </c>
      <c r="I56" s="8">
        <v>3000</v>
      </c>
      <c r="J56" s="20">
        <v>1500</v>
      </c>
      <c r="K56" s="36">
        <v>0</v>
      </c>
      <c r="L56" s="24" t="s">
        <v>157</v>
      </c>
      <c r="M56" s="10"/>
      <c r="N56" s="11"/>
      <c r="O56" s="11"/>
      <c r="P56" s="11"/>
      <c r="Q56" s="12"/>
    </row>
    <row r="57" spans="1:17" s="13" customFormat="1" x14ac:dyDescent="0.25">
      <c r="A57" s="5">
        <f t="shared" si="1"/>
        <v>56</v>
      </c>
      <c r="B57" s="6" t="s">
        <v>144</v>
      </c>
      <c r="C57" s="6" t="s">
        <v>145</v>
      </c>
      <c r="D57" s="7" t="s">
        <v>31</v>
      </c>
      <c r="E57" s="7" t="s">
        <v>103</v>
      </c>
      <c r="F57" s="8">
        <v>0</v>
      </c>
      <c r="G57" s="8">
        <v>1500</v>
      </c>
      <c r="H57" s="8">
        <v>0</v>
      </c>
      <c r="I57" s="20">
        <v>0</v>
      </c>
      <c r="J57" s="20">
        <v>0</v>
      </c>
      <c r="K57" s="36">
        <v>0</v>
      </c>
      <c r="L57" s="9"/>
      <c r="M57" s="10"/>
      <c r="N57" s="11"/>
      <c r="O57" s="11"/>
      <c r="P57" s="11"/>
      <c r="Q57" s="12"/>
    </row>
    <row r="58" spans="1:17" s="13" customFormat="1" x14ac:dyDescent="0.25">
      <c r="A58" s="39">
        <f t="shared" si="1"/>
        <v>57</v>
      </c>
      <c r="B58" s="40" t="s">
        <v>158</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158</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158</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164</v>
      </c>
      <c r="C62" s="6" t="s">
        <v>165</v>
      </c>
      <c r="D62" s="48" t="s">
        <v>58</v>
      </c>
      <c r="E62" s="48" t="s">
        <v>103</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36">
        <v>0</v>
      </c>
      <c r="K63" s="36">
        <v>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36">
        <v>0</v>
      </c>
      <c r="L64" s="9"/>
    </row>
    <row r="65" spans="1:12" x14ac:dyDescent="0.25">
      <c r="A65" s="5">
        <f t="shared" si="1"/>
        <v>64</v>
      </c>
      <c r="B65" s="15" t="s">
        <v>155</v>
      </c>
      <c r="C65" s="6" t="s">
        <v>78</v>
      </c>
      <c r="D65" s="7" t="s">
        <v>50</v>
      </c>
      <c r="E65" s="7" t="s">
        <v>12</v>
      </c>
      <c r="F65" s="16">
        <v>2500</v>
      </c>
      <c r="G65" s="16">
        <v>2500</v>
      </c>
      <c r="H65" s="18">
        <v>2500</v>
      </c>
      <c r="I65" s="18">
        <v>2500</v>
      </c>
      <c r="J65" s="36">
        <v>0</v>
      </c>
      <c r="K65" s="36">
        <v>0</v>
      </c>
      <c r="L65" s="9"/>
    </row>
    <row r="66" spans="1:12" ht="30" x14ac:dyDescent="0.25">
      <c r="A66" s="55">
        <f t="shared" si="1"/>
        <v>65</v>
      </c>
      <c r="B66" s="54" t="s">
        <v>203</v>
      </c>
      <c r="C66" s="54" t="s">
        <v>165</v>
      </c>
      <c r="D66" s="55" t="s">
        <v>58</v>
      </c>
      <c r="E66" s="55" t="s">
        <v>103</v>
      </c>
      <c r="F66" s="56" t="s">
        <v>159</v>
      </c>
      <c r="G66" s="56" t="s">
        <v>159</v>
      </c>
      <c r="H66" s="56" t="s">
        <v>159</v>
      </c>
      <c r="I66" s="56" t="s">
        <v>159</v>
      </c>
      <c r="J66" s="56"/>
      <c r="K66" s="8">
        <v>1500</v>
      </c>
      <c r="L66" s="50"/>
    </row>
    <row r="67" spans="1:12" x14ac:dyDescent="0.25">
      <c r="A67" s="5">
        <f t="shared" ref="A67:A99" si="2">A66+1</f>
        <v>66</v>
      </c>
      <c r="B67" s="6" t="s">
        <v>178</v>
      </c>
      <c r="C67" s="6" t="s">
        <v>118</v>
      </c>
      <c r="D67" s="7" t="s">
        <v>50</v>
      </c>
      <c r="E67" s="7" t="s">
        <v>12</v>
      </c>
      <c r="F67" s="8">
        <v>2500</v>
      </c>
      <c r="G67" s="8">
        <v>2500</v>
      </c>
      <c r="H67" s="8">
        <v>2500</v>
      </c>
      <c r="I67" s="8">
        <v>2500</v>
      </c>
      <c r="J67" s="8">
        <v>2500</v>
      </c>
      <c r="K67" s="36">
        <v>0</v>
      </c>
      <c r="L67" s="24"/>
    </row>
    <row r="68" spans="1:12" ht="30" x14ac:dyDescent="0.25">
      <c r="A68" s="5">
        <f t="shared" si="2"/>
        <v>67</v>
      </c>
      <c r="B68" s="6" t="s">
        <v>125</v>
      </c>
      <c r="C68" s="6" t="s">
        <v>163</v>
      </c>
      <c r="D68" s="7" t="s">
        <v>50</v>
      </c>
      <c r="E68" s="7" t="s">
        <v>12</v>
      </c>
      <c r="F68" s="8">
        <v>0</v>
      </c>
      <c r="G68" s="8">
        <v>2500</v>
      </c>
      <c r="H68" s="22">
        <v>2500</v>
      </c>
      <c r="I68" s="22">
        <v>2500</v>
      </c>
      <c r="J68" s="8">
        <v>2500</v>
      </c>
      <c r="K68" s="36">
        <v>0</v>
      </c>
      <c r="L68" s="24"/>
    </row>
    <row r="69" spans="1:12" x14ac:dyDescent="0.25">
      <c r="A69" s="46">
        <f t="shared" si="2"/>
        <v>68</v>
      </c>
      <c r="B69" s="6" t="s">
        <v>61</v>
      </c>
      <c r="C69" s="6" t="s">
        <v>167</v>
      </c>
      <c r="D69" s="7" t="s">
        <v>11</v>
      </c>
      <c r="E69" s="7" t="s">
        <v>12</v>
      </c>
      <c r="F69" s="8">
        <v>2512</v>
      </c>
      <c r="G69" s="20">
        <v>0</v>
      </c>
      <c r="H69" s="8">
        <v>2500</v>
      </c>
      <c r="I69" s="8">
        <v>2512</v>
      </c>
      <c r="J69" s="8">
        <v>2500</v>
      </c>
      <c r="K69" s="36">
        <v>0</v>
      </c>
      <c r="L69" s="9"/>
    </row>
    <row r="70" spans="1:12" ht="60" x14ac:dyDescent="0.25">
      <c r="A70" s="5">
        <f t="shared" si="2"/>
        <v>69</v>
      </c>
      <c r="B70" s="6" t="s">
        <v>9</v>
      </c>
      <c r="C70" s="6" t="s">
        <v>10</v>
      </c>
      <c r="D70" s="7" t="s">
        <v>11</v>
      </c>
      <c r="E70" s="7" t="s">
        <v>12</v>
      </c>
      <c r="F70" s="8">
        <v>2500</v>
      </c>
      <c r="G70" s="8">
        <v>22500</v>
      </c>
      <c r="H70" s="9">
        <v>2500</v>
      </c>
      <c r="I70" s="9">
        <v>22500</v>
      </c>
      <c r="J70" s="9">
        <v>25000</v>
      </c>
      <c r="K70" s="36">
        <v>0</v>
      </c>
      <c r="L70" s="9" t="s">
        <v>200</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103</v>
      </c>
      <c r="F72" s="8">
        <v>10000</v>
      </c>
      <c r="G72" s="20">
        <v>0</v>
      </c>
      <c r="H72" s="35">
        <v>0</v>
      </c>
      <c r="I72" s="35">
        <v>0</v>
      </c>
      <c r="J72" s="9">
        <v>1500</v>
      </c>
      <c r="K72" s="36">
        <v>0</v>
      </c>
      <c r="L72" s="9"/>
    </row>
    <row r="73" spans="1:12" ht="30" x14ac:dyDescent="0.25">
      <c r="A73" s="5">
        <f t="shared" si="2"/>
        <v>72</v>
      </c>
      <c r="B73" s="6" t="s">
        <v>190</v>
      </c>
      <c r="C73" s="6" t="s">
        <v>19</v>
      </c>
      <c r="D73" s="7" t="s">
        <v>11</v>
      </c>
      <c r="E73" s="7" t="s">
        <v>103</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36">
        <v>0</v>
      </c>
      <c r="L75" s="9"/>
    </row>
    <row r="76" spans="1:12" x14ac:dyDescent="0.25">
      <c r="A76" s="5">
        <f t="shared" si="2"/>
        <v>75</v>
      </c>
      <c r="B76" s="6" t="s">
        <v>156</v>
      </c>
      <c r="C76" s="6" t="s">
        <v>28</v>
      </c>
      <c r="D76" s="7" t="s">
        <v>11</v>
      </c>
      <c r="E76" s="7" t="s">
        <v>12</v>
      </c>
      <c r="F76" s="8">
        <v>2500</v>
      </c>
      <c r="G76" s="8">
        <v>2500</v>
      </c>
      <c r="H76" s="9">
        <v>2500</v>
      </c>
      <c r="I76" s="9">
        <v>2500</v>
      </c>
      <c r="J76" s="35">
        <v>0</v>
      </c>
      <c r="K76" s="36">
        <v>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158</v>
      </c>
      <c r="C80" s="40"/>
      <c r="D80" s="41"/>
      <c r="E80" s="41"/>
      <c r="F80" s="38"/>
      <c r="G80" s="38"/>
      <c r="H80" s="42"/>
      <c r="I80" s="42"/>
      <c r="J80" s="42"/>
      <c r="K80" s="36">
        <v>0</v>
      </c>
      <c r="L80" s="42"/>
    </row>
    <row r="81" spans="1:12" x14ac:dyDescent="0.25">
      <c r="A81" s="5">
        <f t="shared" si="2"/>
        <v>80</v>
      </c>
      <c r="B81" s="40" t="s">
        <v>158</v>
      </c>
      <c r="C81" s="40" t="s">
        <v>159</v>
      </c>
      <c r="D81" s="41" t="s">
        <v>159</v>
      </c>
      <c r="E81" s="41" t="s">
        <v>159</v>
      </c>
      <c r="F81" s="38" t="s">
        <v>159</v>
      </c>
      <c r="G81" s="38" t="s">
        <v>159</v>
      </c>
      <c r="H81" s="42" t="s">
        <v>159</v>
      </c>
      <c r="I81" s="42" t="s">
        <v>159</v>
      </c>
      <c r="J81" s="42"/>
      <c r="K81" s="36">
        <v>0</v>
      </c>
      <c r="L81" s="42"/>
    </row>
    <row r="82" spans="1:12" x14ac:dyDescent="0.25">
      <c r="A82" s="5">
        <f t="shared" si="2"/>
        <v>81</v>
      </c>
      <c r="B82" s="40" t="s">
        <v>158</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36">
        <v>0</v>
      </c>
      <c r="L83" s="9"/>
    </row>
    <row r="84" spans="1:12" ht="30" x14ac:dyDescent="0.25">
      <c r="A84" s="5">
        <f t="shared" si="2"/>
        <v>83</v>
      </c>
      <c r="B84" s="6" t="s">
        <v>191</v>
      </c>
      <c r="C84" s="6" t="s">
        <v>141</v>
      </c>
      <c r="D84" s="7" t="s">
        <v>11</v>
      </c>
      <c r="E84" s="7" t="s">
        <v>12</v>
      </c>
      <c r="F84" s="8"/>
      <c r="G84" s="8"/>
      <c r="H84" s="9">
        <v>12500</v>
      </c>
      <c r="I84" s="9">
        <v>2500</v>
      </c>
      <c r="J84" s="9">
        <v>12500</v>
      </c>
      <c r="K84" s="36">
        <v>0</v>
      </c>
      <c r="L84" s="9" t="s">
        <v>198</v>
      </c>
    </row>
    <row r="85" spans="1:12" x14ac:dyDescent="0.25">
      <c r="A85" s="5">
        <f t="shared" si="2"/>
        <v>84</v>
      </c>
      <c r="B85" s="15" t="s">
        <v>80</v>
      </c>
      <c r="C85" s="6" t="s">
        <v>81</v>
      </c>
      <c r="D85" s="7" t="s">
        <v>11</v>
      </c>
      <c r="E85" s="7" t="s">
        <v>12</v>
      </c>
      <c r="F85" s="16">
        <v>2500</v>
      </c>
      <c r="G85" s="16">
        <v>2500</v>
      </c>
      <c r="H85" s="18">
        <v>2500</v>
      </c>
      <c r="I85" s="18">
        <v>2500</v>
      </c>
      <c r="J85" s="36">
        <v>0</v>
      </c>
      <c r="K85" s="36">
        <v>0</v>
      </c>
      <c r="L85" s="9" t="s">
        <v>176</v>
      </c>
    </row>
    <row r="86" spans="1:12" ht="30" x14ac:dyDescent="0.25">
      <c r="A86" s="5">
        <f t="shared" si="2"/>
        <v>85</v>
      </c>
      <c r="B86" s="6" t="s">
        <v>85</v>
      </c>
      <c r="C86" s="6" t="s">
        <v>86</v>
      </c>
      <c r="D86" s="7" t="s">
        <v>11</v>
      </c>
      <c r="E86" s="7" t="s">
        <v>14</v>
      </c>
      <c r="F86" s="8">
        <v>15000</v>
      </c>
      <c r="G86" s="8">
        <v>15000</v>
      </c>
      <c r="H86" s="18">
        <v>15000</v>
      </c>
      <c r="I86" s="18">
        <v>15000</v>
      </c>
      <c r="J86" s="18">
        <v>15000</v>
      </c>
      <c r="K86" s="36">
        <v>0</v>
      </c>
      <c r="L86" s="9"/>
    </row>
    <row r="87" spans="1:12" x14ac:dyDescent="0.25">
      <c r="A87" s="5">
        <f t="shared" si="2"/>
        <v>86</v>
      </c>
      <c r="B87" s="6" t="s">
        <v>87</v>
      </c>
      <c r="C87" s="6" t="s">
        <v>10</v>
      </c>
      <c r="D87" s="7" t="s">
        <v>11</v>
      </c>
      <c r="E87" s="7" t="s">
        <v>12</v>
      </c>
      <c r="F87" s="8">
        <v>2500</v>
      </c>
      <c r="G87" s="8">
        <v>2500</v>
      </c>
      <c r="H87" s="35">
        <v>0</v>
      </c>
      <c r="I87" s="9">
        <v>7500</v>
      </c>
      <c r="J87" s="9">
        <v>2500</v>
      </c>
      <c r="K87" s="36">
        <v>0</v>
      </c>
      <c r="L87" s="9" t="s">
        <v>175</v>
      </c>
    </row>
    <row r="88" spans="1:12" x14ac:dyDescent="0.25">
      <c r="A88" s="5">
        <f t="shared" si="2"/>
        <v>87</v>
      </c>
      <c r="B88" s="6" t="s">
        <v>93</v>
      </c>
      <c r="C88" s="6" t="s">
        <v>94</v>
      </c>
      <c r="D88" s="7" t="s">
        <v>11</v>
      </c>
      <c r="E88" s="7" t="s">
        <v>14</v>
      </c>
      <c r="F88" s="8">
        <v>7500</v>
      </c>
      <c r="G88" s="8">
        <v>2500</v>
      </c>
      <c r="H88" s="9">
        <v>2500</v>
      </c>
      <c r="I88" s="9">
        <v>7500</v>
      </c>
      <c r="J88" s="35">
        <v>0</v>
      </c>
      <c r="K88" s="36">
        <v>0</v>
      </c>
      <c r="L88" s="9"/>
    </row>
    <row r="89" spans="1:12" x14ac:dyDescent="0.25">
      <c r="A89" s="5">
        <f t="shared" si="2"/>
        <v>88</v>
      </c>
      <c r="B89" s="6" t="s">
        <v>100</v>
      </c>
      <c r="C89" s="6" t="s">
        <v>10</v>
      </c>
      <c r="D89" s="7" t="s">
        <v>11</v>
      </c>
      <c r="E89" s="7" t="s">
        <v>12</v>
      </c>
      <c r="F89" s="8">
        <v>2500</v>
      </c>
      <c r="G89" s="20">
        <v>0</v>
      </c>
      <c r="H89" s="35">
        <v>0</v>
      </c>
      <c r="I89" s="35">
        <v>0</v>
      </c>
      <c r="J89" s="35">
        <v>0</v>
      </c>
      <c r="K89" s="36">
        <v>0</v>
      </c>
      <c r="L89" s="9"/>
    </row>
    <row r="90" spans="1:12" ht="60" x14ac:dyDescent="0.25">
      <c r="A90" s="5">
        <f t="shared" si="2"/>
        <v>89</v>
      </c>
      <c r="B90" s="6" t="s">
        <v>110</v>
      </c>
      <c r="C90" s="6" t="s">
        <v>111</v>
      </c>
      <c r="D90" s="7" t="s">
        <v>11</v>
      </c>
      <c r="E90" s="7" t="s">
        <v>14</v>
      </c>
      <c r="F90" s="20">
        <v>0</v>
      </c>
      <c r="G90" s="8">
        <v>7500</v>
      </c>
      <c r="H90" s="22">
        <v>7500</v>
      </c>
      <c r="I90" s="22">
        <v>7500</v>
      </c>
      <c r="J90" s="8">
        <v>7500</v>
      </c>
      <c r="K90" s="36">
        <v>0</v>
      </c>
      <c r="L90" s="24"/>
    </row>
    <row r="91" spans="1:12" ht="195" x14ac:dyDescent="0.25">
      <c r="A91" s="5">
        <f t="shared" si="2"/>
        <v>90</v>
      </c>
      <c r="B91" s="6" t="s">
        <v>151</v>
      </c>
      <c r="C91" s="6" t="s">
        <v>112</v>
      </c>
      <c r="D91" s="6" t="s">
        <v>11</v>
      </c>
      <c r="E91" s="6" t="s">
        <v>14</v>
      </c>
      <c r="F91" s="20">
        <v>0</v>
      </c>
      <c r="G91" s="8">
        <v>10000</v>
      </c>
      <c r="H91" s="20">
        <v>0</v>
      </c>
      <c r="I91" s="38">
        <v>1</v>
      </c>
      <c r="J91" s="38"/>
      <c r="K91" s="36">
        <v>0</v>
      </c>
      <c r="L91" s="24"/>
    </row>
    <row r="92" spans="1:12" x14ac:dyDescent="0.25">
      <c r="A92" s="5">
        <f t="shared" si="2"/>
        <v>91</v>
      </c>
      <c r="B92" s="6" t="s">
        <v>151</v>
      </c>
      <c r="C92" s="6" t="s">
        <v>152</v>
      </c>
      <c r="D92" s="6" t="s">
        <v>11</v>
      </c>
      <c r="E92" s="6" t="s">
        <v>103</v>
      </c>
      <c r="F92" s="20"/>
      <c r="G92" s="20"/>
      <c r="H92" s="20"/>
      <c r="I92" s="8">
        <v>3000</v>
      </c>
      <c r="J92" s="20">
        <v>0</v>
      </c>
      <c r="K92" s="36">
        <v>0</v>
      </c>
      <c r="L92" s="24"/>
    </row>
    <row r="93" spans="1:12" ht="45" x14ac:dyDescent="0.25">
      <c r="A93" s="5">
        <f t="shared" si="2"/>
        <v>92</v>
      </c>
      <c r="B93" s="6" t="s">
        <v>148</v>
      </c>
      <c r="C93" s="6" t="s">
        <v>149</v>
      </c>
      <c r="D93" s="7" t="s">
        <v>11</v>
      </c>
      <c r="E93" s="7" t="s">
        <v>103</v>
      </c>
      <c r="F93" s="20">
        <v>0</v>
      </c>
      <c r="G93" s="20">
        <v>0</v>
      </c>
      <c r="H93" s="20">
        <v>0</v>
      </c>
      <c r="I93" s="8">
        <v>1500</v>
      </c>
      <c r="J93" s="8">
        <v>5000</v>
      </c>
      <c r="K93" s="36">
        <v>0</v>
      </c>
      <c r="L93" s="9" t="s">
        <v>193</v>
      </c>
    </row>
    <row r="94" spans="1:12" ht="45" x14ac:dyDescent="0.25">
      <c r="A94" s="5">
        <f t="shared" si="2"/>
        <v>93</v>
      </c>
      <c r="B94" s="6" t="s">
        <v>24</v>
      </c>
      <c r="C94" s="6" t="s">
        <v>149</v>
      </c>
      <c r="D94" s="7" t="s">
        <v>11</v>
      </c>
      <c r="E94" s="7" t="s">
        <v>103</v>
      </c>
      <c r="F94" s="20">
        <v>0</v>
      </c>
      <c r="G94" s="20">
        <v>0</v>
      </c>
      <c r="H94" s="20">
        <v>0</v>
      </c>
      <c r="I94" s="8">
        <v>1500</v>
      </c>
      <c r="J94" s="20">
        <v>0</v>
      </c>
      <c r="K94" s="36">
        <v>0</v>
      </c>
      <c r="L94" s="9"/>
    </row>
    <row r="95" spans="1:12" ht="45" x14ac:dyDescent="0.25">
      <c r="A95" s="5">
        <f t="shared" si="2"/>
        <v>94</v>
      </c>
      <c r="B95" s="6" t="s">
        <v>150</v>
      </c>
      <c r="C95" s="6" t="s">
        <v>149</v>
      </c>
      <c r="D95" s="7" t="s">
        <v>11</v>
      </c>
      <c r="E95" s="7" t="s">
        <v>103</v>
      </c>
      <c r="F95" s="20">
        <v>0</v>
      </c>
      <c r="G95" s="20">
        <v>0</v>
      </c>
      <c r="H95" s="20">
        <v>0</v>
      </c>
      <c r="I95" s="8">
        <v>1500</v>
      </c>
      <c r="J95" s="8">
        <v>1500</v>
      </c>
      <c r="K95" s="36">
        <v>0</v>
      </c>
      <c r="L95" s="9"/>
    </row>
    <row r="96" spans="1:12" s="13" customFormat="1" x14ac:dyDescent="0.25">
      <c r="A96" s="5">
        <f t="shared" si="2"/>
        <v>95</v>
      </c>
      <c r="B96" s="53" t="s">
        <v>179</v>
      </c>
      <c r="C96" s="54" t="s">
        <v>180</v>
      </c>
      <c r="D96" s="55" t="s">
        <v>31</v>
      </c>
      <c r="E96" s="55" t="s">
        <v>12</v>
      </c>
      <c r="F96" s="17" t="s">
        <v>159</v>
      </c>
      <c r="G96" s="17" t="s">
        <v>159</v>
      </c>
      <c r="H96" s="17" t="s">
        <v>159</v>
      </c>
      <c r="I96" s="16">
        <v>2500</v>
      </c>
      <c r="J96" s="16">
        <v>2500</v>
      </c>
      <c r="K96" s="36">
        <v>0</v>
      </c>
      <c r="L96" s="9"/>
    </row>
    <row r="97" spans="1:12" x14ac:dyDescent="0.25">
      <c r="A97" s="5">
        <f t="shared" si="2"/>
        <v>96</v>
      </c>
      <c r="B97" s="15" t="s">
        <v>192</v>
      </c>
      <c r="C97" s="6"/>
      <c r="D97" s="48" t="s">
        <v>17</v>
      </c>
      <c r="E97" s="48" t="s">
        <v>12</v>
      </c>
      <c r="F97" s="17">
        <v>0</v>
      </c>
      <c r="G97" s="17">
        <v>0</v>
      </c>
      <c r="H97" s="17">
        <v>0</v>
      </c>
      <c r="I97" s="16">
        <v>2500</v>
      </c>
      <c r="J97" s="16">
        <v>2500</v>
      </c>
      <c r="K97" s="36">
        <v>0</v>
      </c>
      <c r="L97" s="9"/>
    </row>
    <row r="98" spans="1:12" x14ac:dyDescent="0.25">
      <c r="A98" s="5">
        <f t="shared" si="2"/>
        <v>97</v>
      </c>
      <c r="B98" s="15" t="s">
        <v>173</v>
      </c>
      <c r="C98" s="6"/>
      <c r="D98" s="48"/>
      <c r="E98" s="48" t="s">
        <v>103</v>
      </c>
      <c r="F98" s="17">
        <v>0</v>
      </c>
      <c r="G98" s="17">
        <v>0</v>
      </c>
      <c r="H98" s="17">
        <v>0</v>
      </c>
      <c r="I98" s="16">
        <v>1500</v>
      </c>
      <c r="J98" s="17">
        <v>0</v>
      </c>
      <c r="K98" s="36">
        <v>0</v>
      </c>
      <c r="L98" s="9"/>
    </row>
    <row r="99" spans="1:12" x14ac:dyDescent="0.25">
      <c r="A99" s="5">
        <f t="shared" si="2"/>
        <v>98</v>
      </c>
      <c r="B99" s="15"/>
      <c r="C99" s="6"/>
      <c r="D99" s="48"/>
      <c r="E99" s="48"/>
      <c r="F99" s="16"/>
      <c r="G99" s="16"/>
      <c r="H99" s="16"/>
      <c r="I99" s="16"/>
      <c r="J99" s="16"/>
      <c r="K99" s="16"/>
      <c r="L99" s="9"/>
    </row>
    <row r="101" spans="1:12" ht="18.75" x14ac:dyDescent="0.3">
      <c r="C101" s="27" t="s">
        <v>136</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137</v>
      </c>
      <c r="F103" s="32">
        <f>COUNTIFS(E2:E98, "House", F2:F98, "&lt;&gt;0")</f>
        <v>42</v>
      </c>
      <c r="G103" s="32">
        <f>COUNTIFS(E2:E98, "House", G2:G98, "&lt;&gt;0")</f>
        <v>39</v>
      </c>
      <c r="H103" s="32">
        <f>COUNTIFS(E2:E98, "House", H2:H98, "&lt;&gt;0")</f>
        <v>38</v>
      </c>
      <c r="I103" s="32">
        <f>COUNTIFS(E2:E98, "House", I2:I98, "&lt;&gt;0")</f>
        <v>44</v>
      </c>
      <c r="J103" s="32">
        <f>COUNTIFS(E2:E98, "House", J2:J98, "&lt;&gt;0")</f>
        <v>36</v>
      </c>
      <c r="K103" s="32">
        <f>COUNTIFS(E2:E98, "House", K2:K98, "&lt;&gt;0")</f>
        <v>2</v>
      </c>
    </row>
    <row r="104" spans="1:12"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0</v>
      </c>
    </row>
    <row r="105" spans="1:12" ht="18.75" x14ac:dyDescent="0.3">
      <c r="D105" s="28"/>
      <c r="E105" s="30" t="s">
        <v>139</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15</v>
      </c>
      <c r="K105" s="32">
        <f>COUNTIFS(E2:E98, "Ind. Apartment", K2:K98, "&lt;&gt;0")</f>
        <v>2</v>
      </c>
    </row>
    <row r="106" spans="1:12" ht="18.75" x14ac:dyDescent="0.3">
      <c r="C106" s="33"/>
      <c r="D106" s="28"/>
      <c r="E106" s="28"/>
      <c r="F106" s="34"/>
      <c r="G106" s="34"/>
      <c r="H106" s="34"/>
      <c r="I106" s="34"/>
      <c r="J106" s="34"/>
      <c r="K106" s="34"/>
    </row>
    <row r="108" spans="1:12" ht="18.75" x14ac:dyDescent="0.3">
      <c r="C108" s="31" t="s">
        <v>140</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0</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0</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16</v>
      </c>
      <c r="K112" s="32">
        <f>COUNTIFS(D2:D98, "3rd Main", K2:K98, "&lt;&gt;0")</f>
        <v>1</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0</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0</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15</v>
      </c>
      <c r="K117" s="32">
        <f>COUNTIFS(D2:D98, "Seethammal Road", K2:K98, "&lt;&gt;0")</f>
        <v>0</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2026-04-02T06:38:32Z</dcterms:modified>
</cp:coreProperties>
</file>