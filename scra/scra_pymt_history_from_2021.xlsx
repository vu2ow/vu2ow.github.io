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<sst xmlns="http://schemas.openxmlformats.org/spreadsheetml/2006/main" count="416" uniqueCount="204">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</sst>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32" activePane="bottomRight" state="frozen"/>
      <selection pane="topRight" activeCell="B1" sqref="B1"/>
      <selection pane="bottomLeft" activeCell="A2" sqref="A2"/>
      <selection pane="bottomRight" activeCell="L51" sqref="L51"/>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146</v>
      </c>
      <c r="J1" s="3" t="s">
        <v>180</v>
      </c>
      <c r="K1" s="3" t="s">
        <v>201</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18">
        <v>7500</v>
      </c>
      <c r="L3" s="9" t="s">
        <v>194</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36">
        <v>0</v>
      </c>
      <c r="L4" s="9" t="s">
        <v>169</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170</v>
      </c>
      <c r="M7" s="10"/>
      <c r="N7" s="11"/>
      <c r="O7" s="11"/>
      <c r="P7" s="11"/>
      <c r="Q7" s="12"/>
    </row>
    <row r="8" spans="1:17" s="13" customFormat="1" ht="32.25" x14ac:dyDescent="0.25">
      <c r="A8" s="5">
        <f t="shared" si="0"/>
        <v>7</v>
      </c>
      <c r="B8" s="6" t="s">
        <v>165</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161</v>
      </c>
      <c r="D11" s="7" t="s">
        <v>23</v>
      </c>
      <c r="E11" s="7" t="s">
        <v>12</v>
      </c>
      <c r="F11" s="8">
        <v>2500</v>
      </c>
      <c r="G11" s="8">
        <v>2500</v>
      </c>
      <c r="H11" s="9">
        <v>2500</v>
      </c>
      <c r="I11" s="9">
        <v>2500</v>
      </c>
      <c r="J11" s="9">
        <v>2500</v>
      </c>
      <c r="K11" s="18">
        <v>2500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36">
        <v>0</v>
      </c>
      <c r="L12" s="24" t="s">
        <v>167</v>
      </c>
      <c r="M12" s="10"/>
      <c r="N12" s="11"/>
      <c r="O12" s="11"/>
      <c r="P12" s="11"/>
      <c r="Q12" s="12"/>
    </row>
    <row r="13" spans="1:17" s="13" customFormat="1" ht="30" x14ac:dyDescent="0.25">
      <c r="A13" s="5">
        <f t="shared" si="0"/>
        <v>12</v>
      </c>
      <c r="B13" s="6" t="s">
        <v>159</v>
      </c>
      <c r="C13" s="6" t="s">
        <v>20</v>
      </c>
      <c r="D13" s="7" t="s">
        <v>21</v>
      </c>
      <c r="E13" s="7" t="s">
        <v>12</v>
      </c>
      <c r="F13" s="8">
        <v>2500</v>
      </c>
      <c r="G13" s="8">
        <v>2500</v>
      </c>
      <c r="H13" s="9">
        <v>7500</v>
      </c>
      <c r="I13" s="9">
        <v>2500</v>
      </c>
      <c r="J13" s="9">
        <v>7500</v>
      </c>
      <c r="K13" s="9">
        <v>2500</v>
      </c>
      <c r="L13" s="9" t="s">
        <v>193</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173</v>
      </c>
      <c r="M14" s="10"/>
      <c r="N14" s="11"/>
      <c r="O14" s="11"/>
      <c r="P14" s="11"/>
      <c r="Q14" s="12"/>
    </row>
    <row r="15" spans="1:17" s="13" customFormat="1" x14ac:dyDescent="0.25">
      <c r="A15" s="51">
        <f t="shared" si="0"/>
        <v>14</v>
      </c>
      <c r="B15" s="52" t="s">
        <v>184</v>
      </c>
      <c r="C15" s="52" t="s">
        <v>182</v>
      </c>
      <c r="D15" s="48" t="s">
        <v>34</v>
      </c>
      <c r="E15" s="48" t="s">
        <v>103</v>
      </c>
      <c r="F15" s="8" t="s">
        <v>158</v>
      </c>
      <c r="G15" s="8" t="s">
        <v>158</v>
      </c>
      <c r="H15" s="9" t="s">
        <v>158</v>
      </c>
      <c r="I15" s="9" t="s">
        <v>158</v>
      </c>
      <c r="J15" s="9">
        <v>1500</v>
      </c>
      <c r="K15" s="36">
        <v>0</v>
      </c>
      <c r="L15" s="9"/>
      <c r="M15" s="10"/>
      <c r="N15" s="11"/>
      <c r="O15" s="11"/>
      <c r="P15" s="11"/>
      <c r="Q15" s="12"/>
    </row>
    <row r="16" spans="1:17" s="13" customFormat="1" x14ac:dyDescent="0.25">
      <c r="A16" s="51">
        <f t="shared" si="0"/>
        <v>15</v>
      </c>
      <c r="B16" s="52" t="s">
        <v>183</v>
      </c>
      <c r="C16" s="52" t="s">
        <v>182</v>
      </c>
      <c r="D16" s="48" t="s">
        <v>34</v>
      </c>
      <c r="E16" s="48" t="s">
        <v>103</v>
      </c>
      <c r="F16" s="8"/>
      <c r="G16" s="8"/>
      <c r="H16" s="9"/>
      <c r="I16" s="9"/>
      <c r="J16" s="9">
        <v>1500</v>
      </c>
      <c r="K16" s="36">
        <v>0</v>
      </c>
      <c r="L16" s="9"/>
      <c r="M16" s="10"/>
      <c r="N16" s="11"/>
      <c r="O16" s="11"/>
      <c r="P16" s="11"/>
      <c r="Q16" s="12"/>
    </row>
    <row r="17" spans="1:17" s="13" customFormat="1" x14ac:dyDescent="0.25">
      <c r="A17" s="51">
        <f t="shared" si="0"/>
        <v>16</v>
      </c>
      <c r="B17" s="52" t="s">
        <v>185</v>
      </c>
      <c r="C17" s="52" t="s">
        <v>182</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168</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186</v>
      </c>
      <c r="C20" s="52" t="s">
        <v>182</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181</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171</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187</v>
      </c>
      <c r="C30" s="52" t="s">
        <v>188</v>
      </c>
      <c r="D30" s="48"/>
      <c r="E30" s="48"/>
      <c r="F30" s="8"/>
      <c r="G30" s="8"/>
      <c r="H30" s="9"/>
      <c r="I30" s="9"/>
      <c r="J30" s="9">
        <v>7500</v>
      </c>
      <c r="K30" s="36">
        <v>0</v>
      </c>
      <c r="L30" s="9"/>
      <c r="M30" s="10"/>
      <c r="N30" s="11"/>
      <c r="O30" s="11"/>
      <c r="P30" s="11"/>
      <c r="Q30" s="12"/>
    </row>
    <row r="31" spans="1:17" s="13" customFormat="1" ht="30" x14ac:dyDescent="0.25">
      <c r="A31" s="5">
        <f t="shared" si="0"/>
        <v>30</v>
      </c>
      <c r="B31" s="6" t="s">
        <v>176</v>
      </c>
      <c r="C31" s="6" t="s">
        <v>109</v>
      </c>
      <c r="D31" s="7" t="s">
        <v>17</v>
      </c>
      <c r="E31" s="7" t="s">
        <v>12</v>
      </c>
      <c r="F31" s="8">
        <v>5000</v>
      </c>
      <c r="G31" s="8">
        <v>5000</v>
      </c>
      <c r="H31" s="8">
        <v>5000</v>
      </c>
      <c r="I31" s="8">
        <v>5000</v>
      </c>
      <c r="J31" s="8">
        <v>5000</v>
      </c>
      <c r="K31" s="36">
        <v>0</v>
      </c>
      <c r="L31" s="24" t="s">
        <v>152</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153</v>
      </c>
      <c r="C35" s="6" t="s">
        <v>120</v>
      </c>
      <c r="D35" s="7" t="s">
        <v>17</v>
      </c>
      <c r="E35" s="7" t="s">
        <v>103</v>
      </c>
      <c r="F35" s="8">
        <v>0</v>
      </c>
      <c r="G35" s="8">
        <v>1500</v>
      </c>
      <c r="H35" s="8">
        <v>1500</v>
      </c>
      <c r="I35" s="8">
        <v>1500</v>
      </c>
      <c r="J35" s="8">
        <v>1500</v>
      </c>
      <c r="K35" s="36">
        <v>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39">
        <f t="shared" si="1"/>
        <v>36</v>
      </c>
      <c r="B37" s="40" t="s">
        <v>157</v>
      </c>
      <c r="C37" s="40"/>
      <c r="D37" s="41"/>
      <c r="E37" s="41"/>
      <c r="F37" s="38"/>
      <c r="G37" s="38"/>
      <c r="H37" s="38"/>
      <c r="I37" s="38"/>
      <c r="J37" s="38"/>
      <c r="K37" s="36">
        <v>0</v>
      </c>
      <c r="L37" s="44"/>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196</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145</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195</v>
      </c>
      <c r="M40" s="10"/>
      <c r="N40" s="11"/>
      <c r="O40" s="11"/>
      <c r="P40" s="11"/>
      <c r="Q40" s="12"/>
    </row>
    <row r="41" spans="1:17" s="13" customFormat="1" ht="15" customHeight="1" x14ac:dyDescent="0.25">
      <c r="A41" s="39">
        <f t="shared" si="1"/>
        <v>40</v>
      </c>
      <c r="B41" s="41" t="s">
        <v>157</v>
      </c>
      <c r="C41" s="40"/>
      <c r="D41" s="41"/>
      <c r="E41" s="41"/>
      <c r="F41" s="38"/>
      <c r="G41" s="38"/>
      <c r="H41" s="43"/>
      <c r="I41" s="43"/>
      <c r="J41" s="43"/>
      <c r="K41" s="36">
        <v>0</v>
      </c>
      <c r="L41" s="42"/>
      <c r="M41" s="10"/>
      <c r="N41" s="11"/>
      <c r="O41" s="11"/>
      <c r="P41" s="11"/>
      <c r="Q41" s="12"/>
    </row>
    <row r="42" spans="1:17" s="13" customFormat="1" ht="15" customHeight="1" x14ac:dyDescent="0.25">
      <c r="A42" s="39">
        <f t="shared" si="1"/>
        <v>41</v>
      </c>
      <c r="B42" s="41" t="s">
        <v>157</v>
      </c>
      <c r="C42" s="40"/>
      <c r="D42" s="41"/>
      <c r="E42" s="41"/>
      <c r="F42" s="38"/>
      <c r="G42" s="38"/>
      <c r="H42" s="43"/>
      <c r="I42" s="43"/>
      <c r="J42" s="43"/>
      <c r="K42" s="36">
        <v>0</v>
      </c>
      <c r="L42" s="42"/>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198</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18">
        <v>7500</v>
      </c>
      <c r="K51" s="36">
        <v>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160</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18">
        <v>2500</v>
      </c>
      <c r="L55" s="24" t="s">
        <v>200</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156</v>
      </c>
      <c r="M56" s="10"/>
      <c r="N56" s="11"/>
      <c r="O56" s="11"/>
      <c r="P56" s="11"/>
      <c r="Q56" s="12"/>
    </row>
    <row r="57" spans="1:17" s="13" customFormat="1" ht="30" x14ac:dyDescent="0.25">
      <c r="A57" s="5">
        <f t="shared" si="1"/>
        <v>56</v>
      </c>
      <c r="B57" s="6" t="s">
        <v>144</v>
      </c>
      <c r="C57" s="6" t="s">
        <v>203</v>
      </c>
      <c r="D57" s="7" t="s">
        <v>31</v>
      </c>
      <c r="E57" s="7" t="s">
        <v>103</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157</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157</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157</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163</v>
      </c>
      <c r="C62" s="6" t="s">
        <v>164</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18">
        <v>2500</v>
      </c>
      <c r="K63" s="36">
        <v>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154</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202</v>
      </c>
      <c r="C66" s="54" t="s">
        <v>164</v>
      </c>
      <c r="D66" s="55" t="s">
        <v>58</v>
      </c>
      <c r="E66" s="55" t="s">
        <v>103</v>
      </c>
      <c r="F66" s="56" t="s">
        <v>158</v>
      </c>
      <c r="G66" s="56" t="s">
        <v>158</v>
      </c>
      <c r="H66" s="56" t="s">
        <v>158</v>
      </c>
      <c r="I66" s="56" t="s">
        <v>158</v>
      </c>
      <c r="J66" s="56"/>
      <c r="K66" s="8">
        <v>1500</v>
      </c>
      <c r="L66" s="50"/>
    </row>
    <row r="67" spans="1:12" x14ac:dyDescent="0.25">
      <c r="A67" s="5">
        <f t="shared" ref="A67:A99" si="2">A66+1</f>
        <v>66</v>
      </c>
      <c r="B67" s="6" t="s">
        <v>177</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162</v>
      </c>
      <c r="D68" s="7" t="s">
        <v>50</v>
      </c>
      <c r="E68" s="7" t="s">
        <v>12</v>
      </c>
      <c r="F68" s="8">
        <v>0</v>
      </c>
      <c r="G68" s="8">
        <v>2500</v>
      </c>
      <c r="H68" s="22">
        <v>2500</v>
      </c>
      <c r="I68" s="22">
        <v>2500</v>
      </c>
      <c r="J68" s="8">
        <v>2500</v>
      </c>
      <c r="K68" s="36">
        <v>0</v>
      </c>
      <c r="L68" s="24"/>
    </row>
    <row r="69" spans="1:12" x14ac:dyDescent="0.25">
      <c r="A69" s="46">
        <f t="shared" si="2"/>
        <v>68</v>
      </c>
      <c r="B69" s="6" t="s">
        <v>61</v>
      </c>
      <c r="C69" s="6" t="s">
        <v>166</v>
      </c>
      <c r="D69" s="7" t="s">
        <v>11</v>
      </c>
      <c r="E69" s="7" t="s">
        <v>12</v>
      </c>
      <c r="F69" s="8">
        <v>2512</v>
      </c>
      <c r="G69" s="20">
        <v>0</v>
      </c>
      <c r="H69" s="8">
        <v>2500</v>
      </c>
      <c r="I69" s="8">
        <v>2512</v>
      </c>
      <c r="J69" s="8">
        <v>2500</v>
      </c>
      <c r="K69" s="36">
        <v>0</v>
      </c>
      <c r="L69" s="9"/>
    </row>
    <row r="70" spans="1:12" ht="60" x14ac:dyDescent="0.25">
      <c r="A70" s="5">
        <f t="shared" si="2"/>
        <v>69</v>
      </c>
      <c r="B70" s="6" t="s">
        <v>9</v>
      </c>
      <c r="C70" s="6" t="s">
        <v>10</v>
      </c>
      <c r="D70" s="7" t="s">
        <v>11</v>
      </c>
      <c r="E70" s="7" t="s">
        <v>12</v>
      </c>
      <c r="F70" s="8">
        <v>2500</v>
      </c>
      <c r="G70" s="8">
        <v>22500</v>
      </c>
      <c r="H70" s="9">
        <v>2500</v>
      </c>
      <c r="I70" s="9">
        <v>22500</v>
      </c>
      <c r="J70" s="9">
        <v>25000</v>
      </c>
      <c r="K70" s="18">
        <v>7500</v>
      </c>
      <c r="L70" s="9" t="s">
        <v>199</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189</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36">
        <v>0</v>
      </c>
      <c r="L75" s="9"/>
    </row>
    <row r="76" spans="1:12" x14ac:dyDescent="0.25">
      <c r="A76" s="5">
        <f t="shared" si="2"/>
        <v>75</v>
      </c>
      <c r="B76" s="6" t="s">
        <v>155</v>
      </c>
      <c r="C76" s="6" t="s">
        <v>28</v>
      </c>
      <c r="D76" s="7" t="s">
        <v>11</v>
      </c>
      <c r="E76" s="7" t="s">
        <v>12</v>
      </c>
      <c r="F76" s="8">
        <v>2500</v>
      </c>
      <c r="G76" s="8">
        <v>2500</v>
      </c>
      <c r="H76" s="9">
        <v>2500</v>
      </c>
      <c r="I76" s="9">
        <v>2500</v>
      </c>
      <c r="J76" s="35">
        <v>0</v>
      </c>
      <c r="K76" s="36">
        <v>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157</v>
      </c>
      <c r="C80" s="40"/>
      <c r="D80" s="41"/>
      <c r="E80" s="41"/>
      <c r="F80" s="38"/>
      <c r="G80" s="38"/>
      <c r="H80" s="42"/>
      <c r="I80" s="42"/>
      <c r="J80" s="42"/>
      <c r="K80" s="36">
        <v>0</v>
      </c>
      <c r="L80" s="42"/>
    </row>
    <row r="81" spans="1:12" x14ac:dyDescent="0.25">
      <c r="A81" s="5">
        <f t="shared" si="2"/>
        <v>80</v>
      </c>
      <c r="B81" s="40" t="s">
        <v>157</v>
      </c>
      <c r="C81" s="40" t="s">
        <v>158</v>
      </c>
      <c r="D81" s="41" t="s">
        <v>158</v>
      </c>
      <c r="E81" s="41" t="s">
        <v>158</v>
      </c>
      <c r="F81" s="38" t="s">
        <v>158</v>
      </c>
      <c r="G81" s="38" t="s">
        <v>158</v>
      </c>
      <c r="H81" s="42" t="s">
        <v>158</v>
      </c>
      <c r="I81" s="42" t="s">
        <v>158</v>
      </c>
      <c r="J81" s="42"/>
      <c r="K81" s="36">
        <v>0</v>
      </c>
      <c r="L81" s="42"/>
    </row>
    <row r="82" spans="1:12" x14ac:dyDescent="0.25">
      <c r="A82" s="5">
        <f t="shared" si="2"/>
        <v>81</v>
      </c>
      <c r="B82" s="40" t="s">
        <v>157</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190</v>
      </c>
      <c r="C84" s="6" t="s">
        <v>141</v>
      </c>
      <c r="D84" s="7" t="s">
        <v>11</v>
      </c>
      <c r="E84" s="7" t="s">
        <v>12</v>
      </c>
      <c r="F84" s="8"/>
      <c r="G84" s="8"/>
      <c r="H84" s="9">
        <v>12500</v>
      </c>
      <c r="I84" s="9">
        <v>2500</v>
      </c>
      <c r="J84" s="9">
        <v>12500</v>
      </c>
      <c r="K84" s="36">
        <v>0</v>
      </c>
      <c r="L84" s="9" t="s">
        <v>197</v>
      </c>
    </row>
    <row r="85" spans="1:12" x14ac:dyDescent="0.25">
      <c r="A85" s="5">
        <f t="shared" si="2"/>
        <v>84</v>
      </c>
      <c r="B85" s="15" t="s">
        <v>80</v>
      </c>
      <c r="C85" s="6" t="s">
        <v>81</v>
      </c>
      <c r="D85" s="7" t="s">
        <v>11</v>
      </c>
      <c r="E85" s="7" t="s">
        <v>12</v>
      </c>
      <c r="F85" s="16">
        <v>2500</v>
      </c>
      <c r="G85" s="16">
        <v>2500</v>
      </c>
      <c r="H85" s="18">
        <v>2500</v>
      </c>
      <c r="I85" s="18">
        <v>2500</v>
      </c>
      <c r="J85" s="36">
        <v>0</v>
      </c>
      <c r="K85" s="36">
        <v>0</v>
      </c>
      <c r="L85" s="9" t="s">
        <v>175</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174</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36">
        <v>0</v>
      </c>
      <c r="L90" s="24"/>
    </row>
    <row r="91" spans="1:12" ht="195" x14ac:dyDescent="0.25">
      <c r="A91" s="5">
        <f t="shared" si="2"/>
        <v>90</v>
      </c>
      <c r="B91" s="6" t="s">
        <v>150</v>
      </c>
      <c r="C91" s="6" t="s">
        <v>112</v>
      </c>
      <c r="D91" s="6" t="s">
        <v>11</v>
      </c>
      <c r="E91" s="6" t="s">
        <v>14</v>
      </c>
      <c r="F91" s="20">
        <v>0</v>
      </c>
      <c r="G91" s="8">
        <v>10000</v>
      </c>
      <c r="H91" s="20">
        <v>0</v>
      </c>
      <c r="I91" s="38">
        <v>1</v>
      </c>
      <c r="J91" s="38"/>
      <c r="K91" s="36">
        <v>0</v>
      </c>
      <c r="L91" s="24"/>
    </row>
    <row r="92" spans="1:12" x14ac:dyDescent="0.25">
      <c r="A92" s="5">
        <f t="shared" si="2"/>
        <v>91</v>
      </c>
      <c r="B92" s="6" t="s">
        <v>150</v>
      </c>
      <c r="C92" s="6" t="s">
        <v>151</v>
      </c>
      <c r="D92" s="6" t="s">
        <v>11</v>
      </c>
      <c r="E92" s="6" t="s">
        <v>103</v>
      </c>
      <c r="F92" s="20"/>
      <c r="G92" s="20"/>
      <c r="H92" s="20"/>
      <c r="I92" s="8">
        <v>3000</v>
      </c>
      <c r="J92" s="20">
        <v>0</v>
      </c>
      <c r="K92" s="36">
        <v>0</v>
      </c>
      <c r="L92" s="24"/>
    </row>
    <row r="93" spans="1:12" ht="45" x14ac:dyDescent="0.25">
      <c r="A93" s="5">
        <f t="shared" si="2"/>
        <v>92</v>
      </c>
      <c r="B93" s="6" t="s">
        <v>147</v>
      </c>
      <c r="C93" s="6" t="s">
        <v>148</v>
      </c>
      <c r="D93" s="7" t="s">
        <v>11</v>
      </c>
      <c r="E93" s="7" t="s">
        <v>103</v>
      </c>
      <c r="F93" s="20">
        <v>0</v>
      </c>
      <c r="G93" s="20">
        <v>0</v>
      </c>
      <c r="H93" s="20">
        <v>0</v>
      </c>
      <c r="I93" s="8">
        <v>1500</v>
      </c>
      <c r="J93" s="8">
        <v>5000</v>
      </c>
      <c r="K93" s="36">
        <v>0</v>
      </c>
      <c r="L93" s="9" t="s">
        <v>192</v>
      </c>
    </row>
    <row r="94" spans="1:12" ht="45" x14ac:dyDescent="0.25">
      <c r="A94" s="5">
        <f t="shared" si="2"/>
        <v>93</v>
      </c>
      <c r="B94" s="6" t="s">
        <v>24</v>
      </c>
      <c r="C94" s="6" t="s">
        <v>148</v>
      </c>
      <c r="D94" s="7" t="s">
        <v>11</v>
      </c>
      <c r="E94" s="7" t="s">
        <v>103</v>
      </c>
      <c r="F94" s="20">
        <v>0</v>
      </c>
      <c r="G94" s="20">
        <v>0</v>
      </c>
      <c r="H94" s="20">
        <v>0</v>
      </c>
      <c r="I94" s="8">
        <v>1500</v>
      </c>
      <c r="J94" s="20">
        <v>0</v>
      </c>
      <c r="K94" s="36">
        <v>0</v>
      </c>
      <c r="L94" s="9"/>
    </row>
    <row r="95" spans="1:12" ht="45" x14ac:dyDescent="0.25">
      <c r="A95" s="5">
        <f t="shared" si="2"/>
        <v>94</v>
      </c>
      <c r="B95" s="6" t="s">
        <v>149</v>
      </c>
      <c r="C95" s="6" t="s">
        <v>148</v>
      </c>
      <c r="D95" s="7" t="s">
        <v>11</v>
      </c>
      <c r="E95" s="7" t="s">
        <v>103</v>
      </c>
      <c r="F95" s="20">
        <v>0</v>
      </c>
      <c r="G95" s="20">
        <v>0</v>
      </c>
      <c r="H95" s="20">
        <v>0</v>
      </c>
      <c r="I95" s="8">
        <v>1500</v>
      </c>
      <c r="J95" s="8">
        <v>1500</v>
      </c>
      <c r="K95" s="36">
        <v>0</v>
      </c>
      <c r="L95" s="9"/>
    </row>
    <row r="96" spans="1:12" s="13" customFormat="1" x14ac:dyDescent="0.25">
      <c r="A96" s="5">
        <f t="shared" si="2"/>
        <v>95</v>
      </c>
      <c r="B96" s="53" t="s">
        <v>178</v>
      </c>
      <c r="C96" s="54" t="s">
        <v>179</v>
      </c>
      <c r="D96" s="55" t="s">
        <v>31</v>
      </c>
      <c r="E96" s="55" t="s">
        <v>12</v>
      </c>
      <c r="F96" s="17" t="s">
        <v>158</v>
      </c>
      <c r="G96" s="17" t="s">
        <v>158</v>
      </c>
      <c r="H96" s="17" t="s">
        <v>158</v>
      </c>
      <c r="I96" s="16">
        <v>2500</v>
      </c>
      <c r="J96" s="16">
        <v>2500</v>
      </c>
      <c r="K96" s="36">
        <v>0</v>
      </c>
      <c r="L96" s="9"/>
    </row>
    <row r="97" spans="1:12" x14ac:dyDescent="0.25">
      <c r="A97" s="5">
        <f t="shared" si="2"/>
        <v>96</v>
      </c>
      <c r="B97" s="15" t="s">
        <v>191</v>
      </c>
      <c r="C97" s="6"/>
      <c r="D97" s="48" t="s">
        <v>17</v>
      </c>
      <c r="E97" s="48" t="s">
        <v>12</v>
      </c>
      <c r="F97" s="17">
        <v>0</v>
      </c>
      <c r="G97" s="17">
        <v>0</v>
      </c>
      <c r="H97" s="17">
        <v>0</v>
      </c>
      <c r="I97" s="16">
        <v>2500</v>
      </c>
      <c r="J97" s="16">
        <v>2500</v>
      </c>
      <c r="K97" s="36">
        <v>0</v>
      </c>
      <c r="L97" s="9"/>
    </row>
    <row r="98" spans="1:12" x14ac:dyDescent="0.25">
      <c r="A98" s="5">
        <f t="shared" si="2"/>
        <v>97</v>
      </c>
      <c r="B98" s="15" t="s">
        <v>172</v>
      </c>
      <c r="C98" s="6"/>
      <c r="D98" s="48"/>
      <c r="E98" s="48" t="s">
        <v>103</v>
      </c>
      <c r="F98" s="17">
        <v>0</v>
      </c>
      <c r="G98" s="17">
        <v>0</v>
      </c>
      <c r="H98" s="17">
        <v>0</v>
      </c>
      <c r="I98" s="16">
        <v>1500</v>
      </c>
      <c r="J98" s="17">
        <v>0</v>
      </c>
      <c r="K98" s="36">
        <v>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42</v>
      </c>
      <c r="G103" s="32">
        <f>COUNTIFS(E2:E98, "House", G2:G98, "&lt;&gt;0")</f>
        <v>39</v>
      </c>
      <c r="H103" s="32">
        <f>COUNTIFS(E2:E98, "House", H2:H98, "&lt;&gt;0")</f>
        <v>38</v>
      </c>
      <c r="I103" s="32">
        <f>COUNTIFS(E2:E98, "House", I2:I98, "&lt;&gt;0")</f>
        <v>44</v>
      </c>
      <c r="J103" s="32">
        <f>COUNTIFS(E2:E98, "House", J2:J98, "&lt;&gt;0")</f>
        <v>38</v>
      </c>
      <c r="K103" s="32">
        <f>COUNTIFS(E2:E98, "House", K2:K98, "&lt;&gt;0")</f>
        <v>9</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1</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16</v>
      </c>
      <c r="K105" s="32">
        <f>COUNTIFS(E2:E98, "Ind. Apartment", K2:K98, "&lt;&gt;0")</f>
        <v>4</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1</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1</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3</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1</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2</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c r="K117" s="32">
        <f>COUNTIFS(D2:D98, "Seethammal Road", K2:K98, "&lt;&gt;0")</f>
        <v>2</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2026-04-27T03:36:30Z</dcterms:modified>
</cp:coreProperties>
</file>