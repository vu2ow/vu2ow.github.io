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Sheet1!$A$1:$L$99</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alcChain>
</file>

<file path=xl/sharedStrings.xml><?xml version="1.0" encoding="utf-8"?>
<sst xmlns="http://schemas.openxmlformats.org/spreadsheetml/2006/main" count="422" uniqueCount="207">
  <si>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</si>
  <si>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</si>
  <si>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</si>
  <si>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</si>
  <si>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</si>
  <si>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</si>
  <si>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</si>
  <si>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</si>
  <si>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</si>
  <si>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</si>
  <si>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</si>
  <si>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</si>
  <si>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</si>
  <si>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</si>
  <si>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</si>
  <si>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</si>
  <si>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</si>
  <si>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</si>
  <si>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</si>
  <si>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</si>
  <si>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</si>
  <si>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</si>
  <si>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</si>
  <si>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</si>
  <si>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</si>
  <si>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</si>
  <si>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</si>
  <si>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</si>
  <si>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</si>
  <si>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</si>
  <si>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</si>
  <si>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</si>
  <si>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</si>
  <si>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</si>
  <si>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</si>
  <si>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</si>
  <si>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</si>
  <si>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</si>
  <si>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</si>
  <si>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</si>
  <si>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</si>
  <si>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</si>
  <si>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</si>
  <si>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</si>
  <si>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</si>
  <si>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</si>
  <si>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</si>
  <si>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</si>
  <si>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</si>
  <si>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</si>
  <si>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</si>
  <si>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</si>
  <si>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</si>
  <si>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</si>
  <si>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</si>
  <si>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</si>
  <si>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</si>
  <si>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</si>
  <si>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</si>
  <si>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</si>
  <si>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</si>
  <si>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</si>
  <si>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</si>
  <si>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</si>
  <si>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</si>
  <si>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</si>
  <si>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</si>
  <si>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</si>
  <si>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</si>
  <si>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</si>
  <si>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</si>
  <si>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</si>
  <si>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</si>
  <si>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</si>
  <si>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</si>
  <si>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</si>
  <si>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</si>
  <si>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</si>
  <si>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</si>
  <si>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</si>
  <si>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</si>
  <si>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</si>
  <si>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</si>
  <si>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</si>
  <si>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</si>
  <si>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</si>
  <si>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</si>
  <si>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</si>
  <si>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</si>
  <si>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</si>
  <si>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</si>
  <si>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</si>
  <si>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</si>
  <si>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</si>
  <si>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</si>
  <si>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</si>
  <si>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</si>
  <si>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</si>
  <si>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</si>
  <si>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</si>
  <si>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</si>
  <si>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</si>
  <si>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</si>
  <si>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</si>
  <si>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</si>
  <si>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</si>
  <si>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</si>
  <si>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</si>
  <si>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</si>
  <si>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</si>
  <si>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</si>
  <si>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</si>
  <si>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</si>
  <si>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</si>
  <si>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</si>
  <si>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</si>
  <si>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</si>
  <si>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</si>
  <si>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</si>
  <si>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</si>
  <si>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</si>
  <si>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</si>
  <si>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</si>
  <si>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</si>
  <si>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</si>
  <si>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</si>
  <si>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</si>
  <si>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</si>
  <si>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</si>
  <si>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</si>
  <si>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</si>
  <si>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</si>
  <si>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</si>
  <si>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</si>
  <si>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</si>
  <si>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</si>
  <si>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</si>
  <si>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</si>
  <si>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</si>
  <si>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</si>
  <si>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</si>
  <si>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</si>
  <si>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</si>
  <si>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</si>
  <si>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</si>
  <si>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</si>
  <si>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</si>
  <si>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</si>
  <si>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</si>
  <si>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</si>
  <si>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</si>
  <si>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</si>
  <si>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</si>
  <si>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</si>
  <si>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</si>
  <si>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</si>
  <si>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</si>
  <si>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</si>
  <si>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</si>
  <si>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</si>
  <si>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</si>
  <si>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</si>
  <si>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</si>
  <si>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</si>
  <si>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</si>
  <si>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</si>
  <si>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</si>
  <si>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</si>
  <si>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</si>
  <si>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</si>
  <si>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</si>
  <si>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</si>
  <si>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</si>
  <si>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</si>
  <si>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</si>
  <si>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</si>
  <si>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</si>
  <si>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</si>
  <si>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</si>
  <si>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</si>
  <si>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</si>
  <si>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</si>
  <si>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</si>
  <si>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</si>
  <si>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</si>
  <si>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</si>
  <si>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</si>
  <si>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</si>
  <si>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</si>
  <si>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</si>
  <si>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</si>
  <si>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</si>
  <si>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</si>
  <si>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</si>
  <si>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</si>
  <si>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</si>
  <si>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</si>
  <si>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</si>
  <si>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</si>
  <si>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</si>
  <si>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</si>
  <si>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</si>
  <si>
    <t>1A, Rathna Apart, ECM Guptha
Chandramauleeswara Gupta</t>
  </si>
  <si>
    <t>Narayanaswamy Ravichandran</t>
  </si>
  <si>
    <t>Old 61 New 16, Seethamma Road</t>
  </si>
  <si>
    <t>Syed Khalid Hussein</t>
  </si>
  <si>
    <t>8 First Main Road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</si>
</sst>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pageSetUpPr fitToPage="1"/>
  </sheetPr>
  <dimension ref="A1:Q117"/>
  <sheetViews>
    <sheetView tabSelected="1" zoomScaleNormal="100" workbookViewId="0">
      <pane xSplit="1" ySplit="1" topLeftCell="B2" activePane="bottomRight" state="frozen"/>
      <selection pane="topRight" activeCell="B1" sqref="B1"/>
      <selection pane="bottomLeft" activeCell="A2" sqref="A2"/>
      <selection pane="bottomRight" activeCell="N34" sqref="N34"/>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145</v>
      </c>
      <c r="J1" s="3" t="s">
        <v>179</v>
      </c>
      <c r="K1" s="3" t="s">
        <v>199</v>
      </c>
      <c r="L1" s="24" t="s">
        <v>8</v>
      </c>
    </row>
    <row r="2" spans="1:17" s="13" customFormat="1" hidden="1" x14ac:dyDescent="0.25">
      <c r="A2" s="5">
        <v>1</v>
      </c>
      <c r="B2" s="6" t="s">
        <v>39</v>
      </c>
      <c r="C2" s="6" t="s">
        <v>40</v>
      </c>
      <c r="D2" s="7" t="s">
        <v>41</v>
      </c>
      <c r="E2" s="7" t="s">
        <v>12</v>
      </c>
      <c r="F2" s="8">
        <v>2500</v>
      </c>
      <c r="G2" s="8">
        <v>2500</v>
      </c>
      <c r="H2" s="18">
        <v>2500</v>
      </c>
      <c r="I2" s="18">
        <v>2500</v>
      </c>
      <c r="J2" s="18">
        <v>2500</v>
      </c>
      <c r="K2" s="18">
        <v>2500</v>
      </c>
      <c r="L2" s="9"/>
      <c r="M2" s="10"/>
      <c r="N2" s="11"/>
      <c r="O2" s="11"/>
      <c r="P2" s="11"/>
      <c r="Q2" s="12"/>
    </row>
    <row r="3" spans="1:17" s="13" customFormat="1" ht="30" hidden="1" x14ac:dyDescent="0.25">
      <c r="A3" s="5">
        <f t="shared" ref="A3:A34" si="0">A2+1</f>
        <v>2</v>
      </c>
      <c r="B3" s="15" t="s">
        <v>42</v>
      </c>
      <c r="C3" s="6" t="s">
        <v>43</v>
      </c>
      <c r="D3" s="7" t="s">
        <v>41</v>
      </c>
      <c r="E3" s="7" t="s">
        <v>14</v>
      </c>
      <c r="F3" s="16">
        <v>10000</v>
      </c>
      <c r="G3" s="16">
        <v>7500</v>
      </c>
      <c r="H3" s="18">
        <v>7500</v>
      </c>
      <c r="I3" s="18">
        <v>7500</v>
      </c>
      <c r="J3" s="18">
        <v>7500</v>
      </c>
      <c r="K3" s="18">
        <v>7500</v>
      </c>
      <c r="L3" s="9" t="s">
        <v>192</v>
      </c>
      <c r="M3" s="10"/>
      <c r="N3" s="11"/>
      <c r="O3" s="11"/>
      <c r="P3" s="11"/>
      <c r="Q3" s="12"/>
    </row>
    <row r="4" spans="1:17" s="13" customFormat="1" ht="30" hidden="1" x14ac:dyDescent="0.25">
      <c r="A4" s="5">
        <f t="shared" si="0"/>
        <v>3</v>
      </c>
      <c r="B4" s="6" t="s">
        <v>71</v>
      </c>
      <c r="C4" s="6" t="s">
        <v>72</v>
      </c>
      <c r="D4" s="7" t="s">
        <v>41</v>
      </c>
      <c r="E4" s="7" t="s">
        <v>12</v>
      </c>
      <c r="F4" s="8">
        <v>2500</v>
      </c>
      <c r="G4" s="8">
        <v>2500</v>
      </c>
      <c r="H4" s="9">
        <v>17500</v>
      </c>
      <c r="I4" s="9">
        <v>7500</v>
      </c>
      <c r="J4" s="35">
        <v>0</v>
      </c>
      <c r="K4" s="18">
        <v>2500</v>
      </c>
      <c r="L4" s="9" t="s">
        <v>168</v>
      </c>
      <c r="M4" s="10"/>
      <c r="N4" s="11"/>
      <c r="O4" s="11"/>
      <c r="Q4" s="12"/>
    </row>
    <row r="5" spans="1:17" s="13" customFormat="1" hidden="1" x14ac:dyDescent="0.25">
      <c r="A5" s="5">
        <f t="shared" si="0"/>
        <v>4</v>
      </c>
      <c r="B5" s="6" t="s">
        <v>73</v>
      </c>
      <c r="C5" s="6" t="s">
        <v>73</v>
      </c>
      <c r="D5" s="7" t="s">
        <v>41</v>
      </c>
      <c r="E5" s="7"/>
      <c r="F5" s="8">
        <v>10000</v>
      </c>
      <c r="G5" s="8">
        <v>10000</v>
      </c>
      <c r="H5" s="9">
        <v>10000</v>
      </c>
      <c r="I5" s="9">
        <v>10000</v>
      </c>
      <c r="J5" s="9">
        <v>10000</v>
      </c>
      <c r="K5" s="18">
        <v>10000</v>
      </c>
      <c r="L5" s="9"/>
      <c r="M5" s="10"/>
      <c r="N5" s="11"/>
      <c r="O5" s="11"/>
      <c r="Q5" s="12"/>
    </row>
    <row r="6" spans="1:17" s="13" customFormat="1" ht="60" x14ac:dyDescent="0.25">
      <c r="A6" s="5">
        <f t="shared" si="0"/>
        <v>5</v>
      </c>
      <c r="B6" s="6" t="s">
        <v>82</v>
      </c>
      <c r="C6" s="6" t="s">
        <v>83</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122</v>
      </c>
      <c r="C7" s="6" t="s">
        <v>123</v>
      </c>
      <c r="D7" s="7" t="s">
        <v>41</v>
      </c>
      <c r="E7" s="7" t="s">
        <v>102</v>
      </c>
      <c r="F7" s="20">
        <v>0</v>
      </c>
      <c r="G7" s="8">
        <v>1500</v>
      </c>
      <c r="H7" s="14">
        <v>4000</v>
      </c>
      <c r="I7" s="8">
        <v>3000</v>
      </c>
      <c r="J7" s="8">
        <v>1500</v>
      </c>
      <c r="K7" s="18">
        <v>2500</v>
      </c>
      <c r="L7" s="49" t="s">
        <v>169</v>
      </c>
      <c r="M7" s="10"/>
      <c r="N7" s="11"/>
      <c r="O7" s="11"/>
      <c r="P7" s="11"/>
      <c r="Q7" s="12"/>
    </row>
    <row r="8" spans="1:17" s="13" customFormat="1" ht="32.25" x14ac:dyDescent="0.25">
      <c r="A8" s="5">
        <f t="shared" si="0"/>
        <v>7</v>
      </c>
      <c r="B8" s="6" t="s">
        <v>164</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18">
        <v>7500</v>
      </c>
      <c r="L10" s="9"/>
      <c r="M10" s="10"/>
      <c r="N10" s="11"/>
      <c r="O10" s="11"/>
      <c r="P10" s="11"/>
      <c r="Q10" s="12"/>
    </row>
    <row r="11" spans="1:17" s="13" customFormat="1" hidden="1" x14ac:dyDescent="0.25">
      <c r="A11" s="47">
        <f t="shared" si="0"/>
        <v>10</v>
      </c>
      <c r="B11" s="6" t="s">
        <v>91</v>
      </c>
      <c r="C11" s="6" t="s">
        <v>160</v>
      </c>
      <c r="D11" s="7" t="s">
        <v>23</v>
      </c>
      <c r="E11" s="7" t="s">
        <v>12</v>
      </c>
      <c r="F11" s="8">
        <v>2500</v>
      </c>
      <c r="G11" s="8">
        <v>2500</v>
      </c>
      <c r="H11" s="9">
        <v>2500</v>
      </c>
      <c r="I11" s="9">
        <v>2500</v>
      </c>
      <c r="J11" s="9">
        <v>2500</v>
      </c>
      <c r="K11" s="18">
        <v>2500</v>
      </c>
      <c r="L11" s="9"/>
      <c r="M11" s="10"/>
      <c r="N11" s="11"/>
      <c r="O11" s="11"/>
      <c r="P11" s="11"/>
      <c r="Q11" s="12"/>
    </row>
    <row r="12" spans="1:17" s="13" customFormat="1" ht="60" hidden="1" x14ac:dyDescent="0.25">
      <c r="A12" s="5">
        <f t="shared" si="0"/>
        <v>11</v>
      </c>
      <c r="B12" s="6" t="s">
        <v>132</v>
      </c>
      <c r="C12" s="6" t="s">
        <v>133</v>
      </c>
      <c r="D12" s="7" t="s">
        <v>23</v>
      </c>
      <c r="E12" s="7" t="s">
        <v>12</v>
      </c>
      <c r="F12" s="8">
        <v>0</v>
      </c>
      <c r="G12" s="8">
        <v>2500</v>
      </c>
      <c r="H12" s="8">
        <v>10000</v>
      </c>
      <c r="I12" s="8">
        <v>2500</v>
      </c>
      <c r="J12" s="8">
        <v>2500</v>
      </c>
      <c r="K12" s="18">
        <v>2500</v>
      </c>
      <c r="L12" s="24" t="s">
        <v>166</v>
      </c>
      <c r="M12" s="10"/>
      <c r="N12" s="11"/>
      <c r="O12" s="11"/>
      <c r="P12" s="11"/>
      <c r="Q12" s="12"/>
    </row>
    <row r="13" spans="1:17" s="13" customFormat="1" ht="30" hidden="1" x14ac:dyDescent="0.25">
      <c r="A13" s="5">
        <f t="shared" si="0"/>
        <v>12</v>
      </c>
      <c r="B13" s="6" t="s">
        <v>158</v>
      </c>
      <c r="C13" s="6" t="s">
        <v>20</v>
      </c>
      <c r="D13" s="7" t="s">
        <v>21</v>
      </c>
      <c r="E13" s="7" t="s">
        <v>12</v>
      </c>
      <c r="F13" s="8">
        <v>2500</v>
      </c>
      <c r="G13" s="8">
        <v>2500</v>
      </c>
      <c r="H13" s="9">
        <v>7500</v>
      </c>
      <c r="I13" s="9">
        <v>2500</v>
      </c>
      <c r="J13" s="9">
        <v>7500</v>
      </c>
      <c r="K13" s="9">
        <v>2500</v>
      </c>
      <c r="L13" s="9" t="s">
        <v>191</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172</v>
      </c>
      <c r="M14" s="10"/>
      <c r="N14" s="11"/>
      <c r="O14" s="11"/>
      <c r="P14" s="11"/>
      <c r="Q14" s="12"/>
    </row>
    <row r="15" spans="1:17" s="13" customFormat="1" ht="30" hidden="1" x14ac:dyDescent="0.25">
      <c r="A15" s="51">
        <f t="shared" si="0"/>
        <v>14</v>
      </c>
      <c r="B15" s="52" t="s">
        <v>202</v>
      </c>
      <c r="C15" s="52" t="s">
        <v>181</v>
      </c>
      <c r="D15" s="48" t="s">
        <v>34</v>
      </c>
      <c r="E15" s="48" t="s">
        <v>102</v>
      </c>
      <c r="F15" s="8" t="s">
        <v>157</v>
      </c>
      <c r="G15" s="8" t="s">
        <v>157</v>
      </c>
      <c r="H15" s="9" t="s">
        <v>157</v>
      </c>
      <c r="I15" s="9" t="s">
        <v>157</v>
      </c>
      <c r="J15" s="9">
        <v>1500</v>
      </c>
      <c r="K15" s="18">
        <v>1250</v>
      </c>
      <c r="L15" s="9"/>
      <c r="M15" s="10"/>
      <c r="N15" s="11"/>
      <c r="O15" s="11"/>
      <c r="P15" s="11"/>
      <c r="Q15" s="12"/>
    </row>
    <row r="16" spans="1:17" s="13" customFormat="1" hidden="1" x14ac:dyDescent="0.25">
      <c r="A16" s="51">
        <f t="shared" si="0"/>
        <v>15</v>
      </c>
      <c r="B16" s="52" t="s">
        <v>182</v>
      </c>
      <c r="C16" s="52" t="s">
        <v>181</v>
      </c>
      <c r="D16" s="48" t="s">
        <v>34</v>
      </c>
      <c r="E16" s="48" t="s">
        <v>102</v>
      </c>
      <c r="F16" s="8"/>
      <c r="G16" s="8"/>
      <c r="H16" s="9"/>
      <c r="I16" s="9"/>
      <c r="J16" s="9">
        <v>1500</v>
      </c>
      <c r="K16" s="18">
        <v>1250</v>
      </c>
      <c r="L16" s="9"/>
      <c r="M16" s="10"/>
      <c r="N16" s="11"/>
      <c r="O16" s="11"/>
      <c r="P16" s="11"/>
      <c r="Q16" s="12"/>
    </row>
    <row r="17" spans="1:17" s="13" customFormat="1" x14ac:dyDescent="0.25">
      <c r="A17" s="51">
        <f t="shared" si="0"/>
        <v>16</v>
      </c>
      <c r="B17" s="52" t="s">
        <v>183</v>
      </c>
      <c r="C17" s="52" t="s">
        <v>181</v>
      </c>
      <c r="D17" s="48" t="s">
        <v>34</v>
      </c>
      <c r="E17" s="48" t="s">
        <v>102</v>
      </c>
      <c r="F17" s="8"/>
      <c r="G17" s="8"/>
      <c r="H17" s="9"/>
      <c r="I17" s="9"/>
      <c r="J17" s="9">
        <v>1500</v>
      </c>
      <c r="K17" s="36">
        <v>0</v>
      </c>
      <c r="L17" s="9"/>
      <c r="M17" s="10"/>
      <c r="N17" s="11"/>
      <c r="O17" s="11"/>
      <c r="P17" s="11"/>
      <c r="Q17" s="12"/>
    </row>
    <row r="18" spans="1:17" s="13" customFormat="1" x14ac:dyDescent="0.25">
      <c r="A18" s="5">
        <f t="shared" si="0"/>
        <v>17</v>
      </c>
      <c r="B18" s="6" t="s">
        <v>81</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167</v>
      </c>
      <c r="C19" s="6" t="s">
        <v>129</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184</v>
      </c>
      <c r="C20" s="52" t="s">
        <v>181</v>
      </c>
      <c r="D20" s="48" t="s">
        <v>34</v>
      </c>
      <c r="E20" s="48" t="s">
        <v>102</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180</v>
      </c>
      <c r="K21" s="36">
        <v>0</v>
      </c>
      <c r="L21" s="9"/>
      <c r="M21" s="10"/>
      <c r="N21" s="11"/>
      <c r="O21" s="11"/>
      <c r="P21" s="11"/>
      <c r="Q21" s="12"/>
    </row>
    <row r="22" spans="1:17" s="13" customFormat="1" ht="45" hidden="1" x14ac:dyDescent="0.25">
      <c r="A22" s="5">
        <f t="shared" si="0"/>
        <v>21</v>
      </c>
      <c r="B22" s="15" t="s">
        <v>69</v>
      </c>
      <c r="C22" s="6" t="s">
        <v>70</v>
      </c>
      <c r="D22" s="7" t="s">
        <v>34</v>
      </c>
      <c r="E22" s="7" t="s">
        <v>12</v>
      </c>
      <c r="F22" s="16">
        <v>2500</v>
      </c>
      <c r="G22" s="16">
        <v>2500</v>
      </c>
      <c r="H22" s="21">
        <v>3500</v>
      </c>
      <c r="I22" s="18">
        <v>3500</v>
      </c>
      <c r="J22" s="18">
        <v>2500</v>
      </c>
      <c r="K22" s="18">
        <v>2500</v>
      </c>
      <c r="L22" s="9" t="s">
        <v>170</v>
      </c>
      <c r="M22" s="10"/>
      <c r="N22" s="11"/>
      <c r="O22" s="11"/>
      <c r="P22" s="11"/>
      <c r="Q22" s="12"/>
    </row>
    <row r="23" spans="1:17" s="13" customFormat="1" ht="30" x14ac:dyDescent="0.25">
      <c r="A23" s="5">
        <f t="shared" si="0"/>
        <v>22</v>
      </c>
      <c r="B23" s="6" t="s">
        <v>100</v>
      </c>
      <c r="C23" s="6" t="s">
        <v>101</v>
      </c>
      <c r="D23" s="7" t="s">
        <v>34</v>
      </c>
      <c r="E23" s="7" t="s">
        <v>102</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103</v>
      </c>
      <c r="C24" s="6" t="s">
        <v>104</v>
      </c>
      <c r="D24" s="7" t="s">
        <v>34</v>
      </c>
      <c r="E24" s="7" t="s">
        <v>14</v>
      </c>
      <c r="F24" s="8">
        <v>7500</v>
      </c>
      <c r="G24" s="8">
        <v>7500</v>
      </c>
      <c r="H24" s="18">
        <v>7500</v>
      </c>
      <c r="I24" s="18">
        <v>7500</v>
      </c>
      <c r="J24" s="18">
        <v>7500</v>
      </c>
      <c r="K24" s="18">
        <v>7500</v>
      </c>
      <c r="L24" s="9"/>
      <c r="M24" s="10"/>
      <c r="N24" s="11"/>
      <c r="O24" s="11"/>
      <c r="P24" s="11"/>
      <c r="Q24" s="12"/>
    </row>
    <row r="25" spans="1:17" s="13" customFormat="1" ht="60" hidden="1" x14ac:dyDescent="0.25">
      <c r="A25" s="5">
        <f t="shared" si="0"/>
        <v>24</v>
      </c>
      <c r="B25" s="6" t="s">
        <v>120</v>
      </c>
      <c r="C25" s="6" t="s">
        <v>121</v>
      </c>
      <c r="D25" s="7" t="s">
        <v>34</v>
      </c>
      <c r="E25" s="7" t="s">
        <v>102</v>
      </c>
      <c r="F25" s="8">
        <v>0</v>
      </c>
      <c r="G25" s="8">
        <v>1875</v>
      </c>
      <c r="H25" s="22">
        <v>1500</v>
      </c>
      <c r="I25" s="8">
        <v>1500</v>
      </c>
      <c r="J25" s="20">
        <v>0</v>
      </c>
      <c r="K25" s="36">
        <v>1500</v>
      </c>
      <c r="L25" s="24"/>
      <c r="M25" s="10"/>
      <c r="N25" s="11"/>
      <c r="O25" s="11"/>
      <c r="P25" s="11"/>
      <c r="Q25" s="12"/>
    </row>
    <row r="26" spans="1:17" s="13" customFormat="1" x14ac:dyDescent="0.25">
      <c r="A26" s="5">
        <f t="shared" si="0"/>
        <v>25</v>
      </c>
      <c r="B26" s="6" t="s">
        <v>141</v>
      </c>
      <c r="C26" s="6" t="s">
        <v>142</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hidden="1"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75</v>
      </c>
      <c r="C29" s="6" t="s">
        <v>76</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185</v>
      </c>
      <c r="C30" s="52" t="s">
        <v>186</v>
      </c>
      <c r="D30" s="48" t="s">
        <v>11</v>
      </c>
      <c r="E30" s="48"/>
      <c r="F30" s="8">
        <v>0</v>
      </c>
      <c r="G30" s="8">
        <v>0</v>
      </c>
      <c r="H30" s="9">
        <v>0</v>
      </c>
      <c r="I30" s="9">
        <v>0</v>
      </c>
      <c r="J30" s="9">
        <v>7500</v>
      </c>
      <c r="K30" s="36">
        <v>0</v>
      </c>
      <c r="L30" s="9"/>
      <c r="M30" s="10"/>
      <c r="N30" s="11"/>
      <c r="O30" s="11"/>
      <c r="P30" s="11"/>
      <c r="Q30" s="12"/>
    </row>
    <row r="31" spans="1:17" s="13" customFormat="1" ht="30" x14ac:dyDescent="0.25">
      <c r="A31" s="5">
        <f t="shared" si="0"/>
        <v>30</v>
      </c>
      <c r="B31" s="6" t="s">
        <v>175</v>
      </c>
      <c r="C31" s="6" t="s">
        <v>108</v>
      </c>
      <c r="D31" s="7" t="s">
        <v>17</v>
      </c>
      <c r="E31" s="7" t="s">
        <v>12</v>
      </c>
      <c r="F31" s="8">
        <v>5000</v>
      </c>
      <c r="G31" s="8">
        <v>5000</v>
      </c>
      <c r="H31" s="8">
        <v>5000</v>
      </c>
      <c r="I31" s="8">
        <v>5000</v>
      </c>
      <c r="J31" s="8">
        <v>5000</v>
      </c>
      <c r="K31" s="36">
        <v>0</v>
      </c>
      <c r="L31" s="24" t="s">
        <v>151</v>
      </c>
      <c r="M31" s="10"/>
      <c r="N31" s="11"/>
      <c r="O31" s="11"/>
      <c r="P31" s="11"/>
      <c r="Q31" s="12"/>
    </row>
    <row r="32" spans="1:17" s="13" customFormat="1" ht="30" hidden="1" x14ac:dyDescent="0.25">
      <c r="A32" s="5">
        <f t="shared" si="0"/>
        <v>31</v>
      </c>
      <c r="B32" s="6" t="s">
        <v>112</v>
      </c>
      <c r="C32" s="6" t="s">
        <v>113</v>
      </c>
      <c r="D32" s="7" t="s">
        <v>17</v>
      </c>
      <c r="E32" s="7" t="s">
        <v>102</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115</v>
      </c>
      <c r="C33" s="6" t="s">
        <v>116</v>
      </c>
      <c r="D33" s="7" t="s">
        <v>17</v>
      </c>
      <c r="E33" s="7" t="s">
        <v>102</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118</v>
      </c>
      <c r="C34" s="6" t="s">
        <v>119</v>
      </c>
      <c r="D34" s="7" t="s">
        <v>17</v>
      </c>
      <c r="E34" s="7" t="s">
        <v>102</v>
      </c>
      <c r="F34" s="8">
        <v>0</v>
      </c>
      <c r="G34" s="8">
        <v>1500</v>
      </c>
      <c r="H34" s="20">
        <v>0</v>
      </c>
      <c r="I34" s="8">
        <v>1500</v>
      </c>
      <c r="J34" s="8">
        <v>1500</v>
      </c>
      <c r="K34" s="36">
        <v>0</v>
      </c>
      <c r="L34" s="24"/>
      <c r="M34" s="10"/>
      <c r="N34" s="11"/>
      <c r="O34" s="11"/>
      <c r="P34" s="11"/>
      <c r="Q34" s="12"/>
    </row>
    <row r="35" spans="1:17" s="13" customFormat="1" ht="30" hidden="1" x14ac:dyDescent="0.25">
      <c r="A35" s="5">
        <f t="shared" ref="A35:A66" si="1">A34+1</f>
        <v>34</v>
      </c>
      <c r="B35" s="6" t="s">
        <v>152</v>
      </c>
      <c r="C35" s="6" t="s">
        <v>119</v>
      </c>
      <c r="D35" s="7" t="s">
        <v>17</v>
      </c>
      <c r="E35" s="7" t="s">
        <v>102</v>
      </c>
      <c r="F35" s="8">
        <v>0</v>
      </c>
      <c r="G35" s="8">
        <v>1500</v>
      </c>
      <c r="H35" s="8">
        <v>1500</v>
      </c>
      <c r="I35" s="8">
        <v>1500</v>
      </c>
      <c r="J35" s="8">
        <v>1500</v>
      </c>
      <c r="K35" s="18">
        <v>1500</v>
      </c>
      <c r="L35" s="24"/>
      <c r="M35" s="10"/>
      <c r="N35" s="11"/>
      <c r="O35" s="11"/>
      <c r="P35" s="11"/>
      <c r="Q35" s="12"/>
    </row>
    <row r="36" spans="1:17" s="13" customFormat="1" ht="30" x14ac:dyDescent="0.25">
      <c r="A36" s="5">
        <f t="shared" si="1"/>
        <v>35</v>
      </c>
      <c r="B36" s="6" t="s">
        <v>130</v>
      </c>
      <c r="C36" s="6" t="s">
        <v>131</v>
      </c>
      <c r="D36" s="7" t="s">
        <v>17</v>
      </c>
      <c r="E36" s="7" t="s">
        <v>102</v>
      </c>
      <c r="F36" s="8">
        <v>0</v>
      </c>
      <c r="G36" s="8">
        <v>1500</v>
      </c>
      <c r="H36" s="20">
        <v>0</v>
      </c>
      <c r="I36" s="20">
        <v>0</v>
      </c>
      <c r="J36" s="20">
        <v>0</v>
      </c>
      <c r="K36" s="36">
        <v>0</v>
      </c>
      <c r="L36" s="24"/>
      <c r="M36" s="10"/>
      <c r="N36" s="11"/>
      <c r="O36" s="11"/>
      <c r="P36" s="11"/>
      <c r="Q36" s="12"/>
    </row>
    <row r="37" spans="1:17" s="13" customFormat="1" hidden="1" x14ac:dyDescent="0.25">
      <c r="A37" s="51">
        <f t="shared" si="1"/>
        <v>36</v>
      </c>
      <c r="B37" s="52" t="s">
        <v>205</v>
      </c>
      <c r="C37" s="52" t="s">
        <v>206</v>
      </c>
      <c r="D37" s="48" t="s">
        <v>23</v>
      </c>
      <c r="E37" s="48"/>
      <c r="F37" s="8">
        <v>0</v>
      </c>
      <c r="G37" s="8">
        <v>0</v>
      </c>
      <c r="H37" s="8">
        <v>0</v>
      </c>
      <c r="I37" s="8">
        <v>0</v>
      </c>
      <c r="J37" s="8">
        <v>0</v>
      </c>
      <c r="K37" s="18">
        <v>2500</v>
      </c>
      <c r="L37" s="50"/>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194</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144</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193</v>
      </c>
      <c r="M40" s="10"/>
      <c r="N40" s="11"/>
      <c r="O40" s="11"/>
      <c r="P40" s="11"/>
      <c r="Q40" s="12"/>
    </row>
    <row r="41" spans="1:17" s="13" customFormat="1" ht="15" customHeight="1" x14ac:dyDescent="0.25">
      <c r="A41" s="39">
        <f t="shared" si="1"/>
        <v>40</v>
      </c>
      <c r="B41" s="41" t="s">
        <v>156</v>
      </c>
      <c r="C41" s="40"/>
      <c r="D41" s="41"/>
      <c r="E41" s="41"/>
      <c r="F41" s="38"/>
      <c r="G41" s="38"/>
      <c r="H41" s="43"/>
      <c r="I41" s="43"/>
      <c r="J41" s="43"/>
      <c r="K41" s="36">
        <v>0</v>
      </c>
      <c r="L41" s="42"/>
      <c r="M41" s="10"/>
      <c r="N41" s="11"/>
      <c r="O41" s="11"/>
      <c r="P41" s="11"/>
      <c r="Q41" s="12"/>
    </row>
    <row r="42" spans="1:17" s="13" customFormat="1" ht="15" hidden="1" customHeight="1" x14ac:dyDescent="0.25">
      <c r="A42" s="55">
        <f t="shared" si="1"/>
        <v>41</v>
      </c>
      <c r="B42" s="55" t="s">
        <v>203</v>
      </c>
      <c r="C42" s="54" t="s">
        <v>204</v>
      </c>
      <c r="D42" s="55" t="s">
        <v>11</v>
      </c>
      <c r="E42" s="55" t="s">
        <v>12</v>
      </c>
      <c r="F42" s="20"/>
      <c r="G42" s="8">
        <v>2500</v>
      </c>
      <c r="H42" s="36"/>
      <c r="I42" s="36"/>
      <c r="J42" s="36"/>
      <c r="K42" s="18">
        <v>2500</v>
      </c>
      <c r="L42" s="9"/>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74</v>
      </c>
      <c r="C45" s="6" t="s">
        <v>30</v>
      </c>
      <c r="D45" s="7" t="s">
        <v>31</v>
      </c>
      <c r="E45" s="7" t="s">
        <v>12</v>
      </c>
      <c r="F45" s="8">
        <v>2500.59</v>
      </c>
      <c r="G45" s="8">
        <v>2501.1799999999998</v>
      </c>
      <c r="H45" s="9">
        <v>7500</v>
      </c>
      <c r="I45" s="9">
        <v>2500</v>
      </c>
      <c r="J45" s="9">
        <v>7500</v>
      </c>
      <c r="K45" s="18">
        <v>2500</v>
      </c>
      <c r="L45" s="9" t="s">
        <v>196</v>
      </c>
      <c r="M45" s="10"/>
      <c r="N45" s="11"/>
      <c r="O45" s="11"/>
      <c r="P45" s="11"/>
      <c r="Q45" s="12"/>
    </row>
    <row r="46" spans="1:17" s="13" customFormat="1" x14ac:dyDescent="0.25">
      <c r="A46" s="5">
        <f t="shared" si="1"/>
        <v>45</v>
      </c>
      <c r="B46" s="6" t="s">
        <v>78</v>
      </c>
      <c r="C46" s="6" t="s">
        <v>128</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87</v>
      </c>
      <c r="C47" s="6" t="s">
        <v>88</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89</v>
      </c>
      <c r="C48" s="6" t="s">
        <v>90</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94</v>
      </c>
      <c r="C49" s="6" t="s">
        <v>95</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96</v>
      </c>
      <c r="C50" s="6" t="s">
        <v>97</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98</v>
      </c>
      <c r="C51" s="6" t="s">
        <v>30</v>
      </c>
      <c r="D51" s="7" t="s">
        <v>31</v>
      </c>
      <c r="E51" s="7" t="s">
        <v>12</v>
      </c>
      <c r="F51" s="8">
        <v>2500</v>
      </c>
      <c r="G51" s="8">
        <v>2500</v>
      </c>
      <c r="H51" s="18">
        <v>2500</v>
      </c>
      <c r="I51" s="18">
        <v>2500</v>
      </c>
      <c r="J51" s="18">
        <v>7500</v>
      </c>
      <c r="K51" s="36">
        <v>0</v>
      </c>
      <c r="L51" s="9"/>
      <c r="M51" s="10"/>
      <c r="N51" s="11"/>
      <c r="O51" s="11"/>
      <c r="P51" s="11"/>
      <c r="Q51" s="12"/>
    </row>
    <row r="52" spans="1:17" s="13" customFormat="1" ht="30" x14ac:dyDescent="0.25">
      <c r="A52" s="5">
        <f t="shared" si="1"/>
        <v>51</v>
      </c>
      <c r="B52" s="6" t="s">
        <v>105</v>
      </c>
      <c r="C52" s="6" t="s">
        <v>106</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107</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hidden="1" x14ac:dyDescent="0.25">
      <c r="A54" s="47">
        <f t="shared" si="1"/>
        <v>53</v>
      </c>
      <c r="B54" s="6" t="s">
        <v>159</v>
      </c>
      <c r="C54" s="6" t="s">
        <v>114</v>
      </c>
      <c r="D54" s="7" t="s">
        <v>31</v>
      </c>
      <c r="E54" s="7" t="s">
        <v>12</v>
      </c>
      <c r="F54" s="8">
        <v>2500</v>
      </c>
      <c r="G54" s="8">
        <v>2500</v>
      </c>
      <c r="H54" s="8">
        <v>2500</v>
      </c>
      <c r="I54" s="8">
        <v>2500</v>
      </c>
      <c r="J54" s="8">
        <v>2500</v>
      </c>
      <c r="K54" s="8">
        <v>2500</v>
      </c>
      <c r="L54" s="24"/>
      <c r="M54" s="10"/>
      <c r="N54" s="11"/>
      <c r="O54" s="11"/>
      <c r="P54" s="11"/>
      <c r="Q54" s="12"/>
    </row>
    <row r="55" spans="1:17" s="13" customFormat="1" ht="60" hidden="1" x14ac:dyDescent="0.25">
      <c r="A55" s="5">
        <f t="shared" si="1"/>
        <v>54</v>
      </c>
      <c r="B55" s="6" t="s">
        <v>125</v>
      </c>
      <c r="C55" s="6" t="s">
        <v>134</v>
      </c>
      <c r="D55" s="7" t="s">
        <v>31</v>
      </c>
      <c r="E55" s="7" t="s">
        <v>12</v>
      </c>
      <c r="F55" s="8">
        <v>0</v>
      </c>
      <c r="G55" s="8">
        <v>2500</v>
      </c>
      <c r="H55" s="14">
        <v>5000</v>
      </c>
      <c r="I55" s="8">
        <v>3500</v>
      </c>
      <c r="J55" s="8">
        <v>7500</v>
      </c>
      <c r="K55" s="18">
        <v>2500</v>
      </c>
      <c r="L55" s="24" t="s">
        <v>198</v>
      </c>
      <c r="M55" s="10"/>
      <c r="N55" s="11"/>
      <c r="O55" s="11"/>
      <c r="P55" s="11"/>
      <c r="Q55" s="12"/>
    </row>
    <row r="56" spans="1:17" s="13" customFormat="1" ht="30" x14ac:dyDescent="0.25">
      <c r="A56" s="5">
        <f t="shared" si="1"/>
        <v>55</v>
      </c>
      <c r="B56" s="6" t="s">
        <v>126</v>
      </c>
      <c r="C56" s="6" t="s">
        <v>127</v>
      </c>
      <c r="D56" s="7" t="s">
        <v>31</v>
      </c>
      <c r="E56" s="7" t="s">
        <v>12</v>
      </c>
      <c r="F56" s="8">
        <v>0</v>
      </c>
      <c r="G56" s="8">
        <v>2500</v>
      </c>
      <c r="H56" s="8">
        <v>1500</v>
      </c>
      <c r="I56" s="8">
        <v>3000</v>
      </c>
      <c r="J56" s="20">
        <v>1500</v>
      </c>
      <c r="K56" s="36">
        <v>0</v>
      </c>
      <c r="L56" s="24" t="s">
        <v>155</v>
      </c>
      <c r="M56" s="10"/>
      <c r="N56" s="11"/>
      <c r="O56" s="11"/>
      <c r="P56" s="11"/>
      <c r="Q56" s="12"/>
    </row>
    <row r="57" spans="1:17" s="13" customFormat="1" ht="30" hidden="1" x14ac:dyDescent="0.25">
      <c r="A57" s="5">
        <f t="shared" si="1"/>
        <v>56</v>
      </c>
      <c r="B57" s="6" t="s">
        <v>143</v>
      </c>
      <c r="C57" s="6" t="s">
        <v>201</v>
      </c>
      <c r="D57" s="7" t="s">
        <v>31</v>
      </c>
      <c r="E57" s="7" t="s">
        <v>102</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156</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156</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156</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hidden="1" x14ac:dyDescent="0.25">
      <c r="A62" s="5">
        <f t="shared" si="1"/>
        <v>61</v>
      </c>
      <c r="B62" s="15" t="s">
        <v>162</v>
      </c>
      <c r="C62" s="6" t="s">
        <v>163</v>
      </c>
      <c r="D62" s="48" t="s">
        <v>58</v>
      </c>
      <c r="E62" s="48" t="s">
        <v>102</v>
      </c>
      <c r="F62" s="16">
        <v>0</v>
      </c>
      <c r="G62" s="17">
        <v>0</v>
      </c>
      <c r="H62" s="17">
        <v>0</v>
      </c>
      <c r="I62" s="16">
        <v>2500</v>
      </c>
      <c r="J62" s="17">
        <v>0</v>
      </c>
      <c r="K62" s="16">
        <v>1500</v>
      </c>
      <c r="L62" s="9"/>
      <c r="M62" s="10"/>
      <c r="N62" s="11"/>
      <c r="O62" s="11"/>
      <c r="P62" s="11"/>
      <c r="Q62" s="12"/>
    </row>
    <row r="63" spans="1:17" s="13" customFormat="1" ht="30" hidden="1" x14ac:dyDescent="0.25">
      <c r="A63" s="5">
        <f t="shared" si="1"/>
        <v>62</v>
      </c>
      <c r="B63" s="7" t="s">
        <v>48</v>
      </c>
      <c r="C63" s="6" t="s">
        <v>49</v>
      </c>
      <c r="D63" s="7" t="s">
        <v>50</v>
      </c>
      <c r="E63" s="7" t="s">
        <v>12</v>
      </c>
      <c r="F63" s="8">
        <v>5000</v>
      </c>
      <c r="G63" s="20">
        <v>0</v>
      </c>
      <c r="H63" s="18">
        <v>2500</v>
      </c>
      <c r="I63" s="18">
        <v>2500</v>
      </c>
      <c r="J63" s="18">
        <v>2500</v>
      </c>
      <c r="K63" s="18">
        <v>2500</v>
      </c>
      <c r="L63" s="9"/>
      <c r="M63" s="10"/>
      <c r="N63" s="11"/>
      <c r="O63" s="11"/>
      <c r="P63" s="11"/>
      <c r="Q63" s="12"/>
    </row>
    <row r="64" spans="1:17" hidden="1"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153</v>
      </c>
      <c r="C65" s="6" t="s">
        <v>77</v>
      </c>
      <c r="D65" s="7" t="s">
        <v>50</v>
      </c>
      <c r="E65" s="7" t="s">
        <v>12</v>
      </c>
      <c r="F65" s="16">
        <v>2500</v>
      </c>
      <c r="G65" s="16">
        <v>2500</v>
      </c>
      <c r="H65" s="18">
        <v>2500</v>
      </c>
      <c r="I65" s="18">
        <v>2500</v>
      </c>
      <c r="J65" s="36">
        <v>0</v>
      </c>
      <c r="K65" s="36">
        <v>0</v>
      </c>
      <c r="L65" s="9"/>
    </row>
    <row r="66" spans="1:12" ht="30" hidden="1" x14ac:dyDescent="0.25">
      <c r="A66" s="55">
        <f t="shared" si="1"/>
        <v>65</v>
      </c>
      <c r="B66" s="54" t="s">
        <v>200</v>
      </c>
      <c r="C66" s="54" t="s">
        <v>163</v>
      </c>
      <c r="D66" s="55" t="s">
        <v>58</v>
      </c>
      <c r="E66" s="55" t="s">
        <v>102</v>
      </c>
      <c r="F66" s="56" t="s">
        <v>157</v>
      </c>
      <c r="G66" s="56" t="s">
        <v>157</v>
      </c>
      <c r="H66" s="56" t="s">
        <v>157</v>
      </c>
      <c r="I66" s="56" t="s">
        <v>157</v>
      </c>
      <c r="J66" s="56"/>
      <c r="K66" s="8">
        <v>1500</v>
      </c>
      <c r="L66" s="50"/>
    </row>
    <row r="67" spans="1:12" x14ac:dyDescent="0.25">
      <c r="A67" s="5">
        <f t="shared" ref="A67:A99" si="2">A66+1</f>
        <v>66</v>
      </c>
      <c r="B67" s="6" t="s">
        <v>176</v>
      </c>
      <c r="C67" s="6" t="s">
        <v>117</v>
      </c>
      <c r="D67" s="7" t="s">
        <v>50</v>
      </c>
      <c r="E67" s="7" t="s">
        <v>12</v>
      </c>
      <c r="F67" s="8">
        <v>2500</v>
      </c>
      <c r="G67" s="8">
        <v>2500</v>
      </c>
      <c r="H67" s="8">
        <v>2500</v>
      </c>
      <c r="I67" s="8">
        <v>2500</v>
      </c>
      <c r="J67" s="8">
        <v>2500</v>
      </c>
      <c r="K67" s="36">
        <v>0</v>
      </c>
      <c r="L67" s="24"/>
    </row>
    <row r="68" spans="1:12" ht="30" x14ac:dyDescent="0.25">
      <c r="A68" s="5">
        <f t="shared" si="2"/>
        <v>67</v>
      </c>
      <c r="B68" s="6" t="s">
        <v>124</v>
      </c>
      <c r="C68" s="6" t="s">
        <v>161</v>
      </c>
      <c r="D68" s="7" t="s">
        <v>50</v>
      </c>
      <c r="E68" s="7" t="s">
        <v>12</v>
      </c>
      <c r="F68" s="8">
        <v>0</v>
      </c>
      <c r="G68" s="8">
        <v>2500</v>
      </c>
      <c r="H68" s="22">
        <v>2500</v>
      </c>
      <c r="I68" s="22">
        <v>2500</v>
      </c>
      <c r="J68" s="8">
        <v>2500</v>
      </c>
      <c r="K68" s="36">
        <v>0</v>
      </c>
      <c r="L68" s="24"/>
    </row>
    <row r="69" spans="1:12" hidden="1" x14ac:dyDescent="0.25">
      <c r="A69" s="46">
        <f t="shared" si="2"/>
        <v>68</v>
      </c>
      <c r="B69" s="6" t="s">
        <v>61</v>
      </c>
      <c r="C69" s="6" t="s">
        <v>165</v>
      </c>
      <c r="D69" s="7" t="s">
        <v>11</v>
      </c>
      <c r="E69" s="7" t="s">
        <v>12</v>
      </c>
      <c r="F69" s="8">
        <v>2512</v>
      </c>
      <c r="G69" s="20">
        <v>0</v>
      </c>
      <c r="H69" s="8">
        <v>2500</v>
      </c>
      <c r="I69" s="8">
        <v>2512</v>
      </c>
      <c r="J69" s="8">
        <v>2500</v>
      </c>
      <c r="K69" s="18">
        <v>2512</v>
      </c>
      <c r="L69" s="9"/>
    </row>
    <row r="70" spans="1:12" ht="60" hidden="1" x14ac:dyDescent="0.25">
      <c r="A70" s="5">
        <f t="shared" si="2"/>
        <v>69</v>
      </c>
      <c r="B70" s="6" t="s">
        <v>9</v>
      </c>
      <c r="C70" s="6" t="s">
        <v>10</v>
      </c>
      <c r="D70" s="7" t="s">
        <v>11</v>
      </c>
      <c r="E70" s="7" t="s">
        <v>12</v>
      </c>
      <c r="F70" s="8">
        <v>2500</v>
      </c>
      <c r="G70" s="8">
        <v>22500</v>
      </c>
      <c r="H70" s="9">
        <v>2500</v>
      </c>
      <c r="I70" s="9">
        <v>22500</v>
      </c>
      <c r="J70" s="9">
        <v>25000</v>
      </c>
      <c r="K70" s="18">
        <v>7500</v>
      </c>
      <c r="L70" s="9" t="s">
        <v>197</v>
      </c>
    </row>
    <row r="71" spans="1:12" x14ac:dyDescent="0.25">
      <c r="A71" s="5">
        <f t="shared" si="2"/>
        <v>70</v>
      </c>
      <c r="B71" s="6" t="s">
        <v>13</v>
      </c>
      <c r="C71" s="6" t="s">
        <v>13</v>
      </c>
      <c r="D71" s="7" t="s">
        <v>11</v>
      </c>
      <c r="E71" s="7" t="s">
        <v>14</v>
      </c>
      <c r="F71" s="16">
        <v>10000</v>
      </c>
      <c r="G71" s="19">
        <v>0</v>
      </c>
      <c r="H71" s="18">
        <v>10000</v>
      </c>
      <c r="I71" s="18">
        <v>10000</v>
      </c>
      <c r="J71" s="18">
        <v>10000</v>
      </c>
      <c r="K71" s="18">
        <v>10000</v>
      </c>
      <c r="L71" s="9"/>
    </row>
    <row r="72" spans="1:12" ht="30" x14ac:dyDescent="0.25">
      <c r="A72" s="5">
        <f t="shared" si="2"/>
        <v>71</v>
      </c>
      <c r="B72" s="6" t="s">
        <v>18</v>
      </c>
      <c r="C72" s="6" t="s">
        <v>19</v>
      </c>
      <c r="D72" s="7" t="s">
        <v>11</v>
      </c>
      <c r="E72" s="7" t="s">
        <v>102</v>
      </c>
      <c r="F72" s="8">
        <v>10000</v>
      </c>
      <c r="G72" s="20">
        <v>0</v>
      </c>
      <c r="H72" s="35">
        <v>0</v>
      </c>
      <c r="I72" s="35">
        <v>0</v>
      </c>
      <c r="J72" s="9">
        <v>1500</v>
      </c>
      <c r="K72" s="36">
        <v>0</v>
      </c>
      <c r="L72" s="9"/>
    </row>
    <row r="73" spans="1:12" ht="30" x14ac:dyDescent="0.25">
      <c r="A73" s="5">
        <f t="shared" si="2"/>
        <v>72</v>
      </c>
      <c r="B73" s="6" t="s">
        <v>187</v>
      </c>
      <c r="C73" s="6" t="s">
        <v>19</v>
      </c>
      <c r="D73" s="7" t="s">
        <v>11</v>
      </c>
      <c r="E73" s="7" t="s">
        <v>102</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hidden="1" x14ac:dyDescent="0.25">
      <c r="A75" s="5">
        <f t="shared" si="2"/>
        <v>74</v>
      </c>
      <c r="B75" s="6" t="s">
        <v>26</v>
      </c>
      <c r="C75" s="6" t="s">
        <v>27</v>
      </c>
      <c r="D75" s="7" t="s">
        <v>11</v>
      </c>
      <c r="E75" s="7" t="s">
        <v>14</v>
      </c>
      <c r="F75" s="8">
        <v>10000</v>
      </c>
      <c r="G75" s="20">
        <v>0</v>
      </c>
      <c r="H75" s="35">
        <v>0</v>
      </c>
      <c r="I75" s="9">
        <v>10000</v>
      </c>
      <c r="J75" s="9">
        <v>10000</v>
      </c>
      <c r="K75" s="18">
        <v>10000</v>
      </c>
      <c r="L75" s="9"/>
    </row>
    <row r="76" spans="1:12" hidden="1" x14ac:dyDescent="0.25">
      <c r="A76" s="5">
        <f t="shared" si="2"/>
        <v>75</v>
      </c>
      <c r="B76" s="6" t="s">
        <v>154</v>
      </c>
      <c r="C76" s="6" t="s">
        <v>28</v>
      </c>
      <c r="D76" s="7" t="s">
        <v>11</v>
      </c>
      <c r="E76" s="7" t="s">
        <v>12</v>
      </c>
      <c r="F76" s="8">
        <v>2500</v>
      </c>
      <c r="G76" s="8">
        <v>2500</v>
      </c>
      <c r="H76" s="9">
        <v>2500</v>
      </c>
      <c r="I76" s="9">
        <v>2500</v>
      </c>
      <c r="J76" s="9">
        <v>0</v>
      </c>
      <c r="K76" s="18">
        <v>2500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156</v>
      </c>
      <c r="C80" s="40"/>
      <c r="D80" s="41"/>
      <c r="E80" s="41"/>
      <c r="F80" s="38"/>
      <c r="G80" s="38"/>
      <c r="H80" s="42"/>
      <c r="I80" s="42"/>
      <c r="J80" s="42"/>
      <c r="K80" s="36">
        <v>0</v>
      </c>
      <c r="L80" s="42"/>
    </row>
    <row r="81" spans="1:12" x14ac:dyDescent="0.25">
      <c r="A81" s="5">
        <f t="shared" si="2"/>
        <v>80</v>
      </c>
      <c r="B81" s="40" t="s">
        <v>156</v>
      </c>
      <c r="C81" s="40" t="s">
        <v>157</v>
      </c>
      <c r="D81" s="41" t="s">
        <v>157</v>
      </c>
      <c r="E81" s="41" t="s">
        <v>157</v>
      </c>
      <c r="F81" s="38" t="s">
        <v>157</v>
      </c>
      <c r="G81" s="38" t="s">
        <v>157</v>
      </c>
      <c r="H81" s="42" t="s">
        <v>157</v>
      </c>
      <c r="I81" s="42" t="s">
        <v>157</v>
      </c>
      <c r="J81" s="42"/>
      <c r="K81" s="36">
        <v>0</v>
      </c>
      <c r="L81" s="42"/>
    </row>
    <row r="82" spans="1:12" x14ac:dyDescent="0.25">
      <c r="A82" s="5">
        <f t="shared" si="2"/>
        <v>81</v>
      </c>
      <c r="B82" s="40" t="s">
        <v>156</v>
      </c>
      <c r="C82" s="40"/>
      <c r="D82" s="41"/>
      <c r="E82" s="41"/>
      <c r="F82" s="38"/>
      <c r="G82" s="38"/>
      <c r="H82" s="42"/>
      <c r="I82" s="42"/>
      <c r="J82" s="42"/>
      <c r="K82" s="36">
        <v>0</v>
      </c>
      <c r="L82" s="42"/>
    </row>
    <row r="83" spans="1:12" hidden="1"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188</v>
      </c>
      <c r="C84" s="6" t="s">
        <v>140</v>
      </c>
      <c r="D84" s="7" t="s">
        <v>11</v>
      </c>
      <c r="E84" s="7" t="s">
        <v>12</v>
      </c>
      <c r="F84" s="8"/>
      <c r="G84" s="8"/>
      <c r="H84" s="9">
        <v>12500</v>
      </c>
      <c r="I84" s="9">
        <v>2500</v>
      </c>
      <c r="J84" s="9">
        <v>12500</v>
      </c>
      <c r="K84" s="36">
        <v>0</v>
      </c>
      <c r="L84" s="9" t="s">
        <v>195</v>
      </c>
    </row>
    <row r="85" spans="1:12" hidden="1" x14ac:dyDescent="0.25">
      <c r="A85" s="5">
        <f t="shared" si="2"/>
        <v>84</v>
      </c>
      <c r="B85" s="15" t="s">
        <v>79</v>
      </c>
      <c r="C85" s="6" t="s">
        <v>80</v>
      </c>
      <c r="D85" s="7" t="s">
        <v>11</v>
      </c>
      <c r="E85" s="7" t="s">
        <v>12</v>
      </c>
      <c r="F85" s="16">
        <v>2500</v>
      </c>
      <c r="G85" s="16">
        <v>2500</v>
      </c>
      <c r="H85" s="18">
        <v>2500</v>
      </c>
      <c r="I85" s="18">
        <v>2500</v>
      </c>
      <c r="J85" s="36">
        <v>0</v>
      </c>
      <c r="K85" s="18">
        <v>2500</v>
      </c>
      <c r="L85" s="9" t="s">
        <v>174</v>
      </c>
    </row>
    <row r="86" spans="1:12" ht="30" x14ac:dyDescent="0.25">
      <c r="A86" s="5">
        <f t="shared" si="2"/>
        <v>85</v>
      </c>
      <c r="B86" s="6" t="s">
        <v>84</v>
      </c>
      <c r="C86" s="6" t="s">
        <v>85</v>
      </c>
      <c r="D86" s="7" t="s">
        <v>11</v>
      </c>
      <c r="E86" s="7" t="s">
        <v>14</v>
      </c>
      <c r="F86" s="8">
        <v>15000</v>
      </c>
      <c r="G86" s="8">
        <v>15000</v>
      </c>
      <c r="H86" s="18">
        <v>15000</v>
      </c>
      <c r="I86" s="18">
        <v>15000</v>
      </c>
      <c r="J86" s="18">
        <v>15000</v>
      </c>
      <c r="K86" s="36">
        <v>0</v>
      </c>
      <c r="L86" s="9"/>
    </row>
    <row r="87" spans="1:12" hidden="1" x14ac:dyDescent="0.25">
      <c r="A87" s="5">
        <f t="shared" si="2"/>
        <v>86</v>
      </c>
      <c r="B87" s="6" t="s">
        <v>86</v>
      </c>
      <c r="C87" s="6" t="s">
        <v>10</v>
      </c>
      <c r="D87" s="7" t="s">
        <v>11</v>
      </c>
      <c r="E87" s="7" t="s">
        <v>12</v>
      </c>
      <c r="F87" s="8">
        <v>2500</v>
      </c>
      <c r="G87" s="8">
        <v>2500</v>
      </c>
      <c r="H87" s="35">
        <v>0</v>
      </c>
      <c r="I87" s="9">
        <v>7500</v>
      </c>
      <c r="J87" s="9">
        <v>2500</v>
      </c>
      <c r="K87" s="18">
        <v>2500</v>
      </c>
      <c r="L87" s="9" t="s">
        <v>173</v>
      </c>
    </row>
    <row r="88" spans="1:12" x14ac:dyDescent="0.25">
      <c r="A88" s="5">
        <f t="shared" si="2"/>
        <v>87</v>
      </c>
      <c r="B88" s="6" t="s">
        <v>92</v>
      </c>
      <c r="C88" s="6" t="s">
        <v>93</v>
      </c>
      <c r="D88" s="7" t="s">
        <v>11</v>
      </c>
      <c r="E88" s="7" t="s">
        <v>14</v>
      </c>
      <c r="F88" s="8">
        <v>7500</v>
      </c>
      <c r="G88" s="8">
        <v>2500</v>
      </c>
      <c r="H88" s="9">
        <v>2500</v>
      </c>
      <c r="I88" s="9">
        <v>7500</v>
      </c>
      <c r="J88" s="35">
        <v>0</v>
      </c>
      <c r="K88" s="36">
        <v>0</v>
      </c>
      <c r="L88" s="9"/>
    </row>
    <row r="89" spans="1:12" x14ac:dyDescent="0.25">
      <c r="A89" s="5">
        <f t="shared" si="2"/>
        <v>88</v>
      </c>
      <c r="B89" s="6" t="s">
        <v>99</v>
      </c>
      <c r="C89" s="6" t="s">
        <v>10</v>
      </c>
      <c r="D89" s="7" t="s">
        <v>11</v>
      </c>
      <c r="E89" s="7" t="s">
        <v>12</v>
      </c>
      <c r="F89" s="8">
        <v>2500</v>
      </c>
      <c r="G89" s="20">
        <v>0</v>
      </c>
      <c r="H89" s="35">
        <v>0</v>
      </c>
      <c r="I89" s="35">
        <v>0</v>
      </c>
      <c r="J89" s="35">
        <v>0</v>
      </c>
      <c r="K89" s="36">
        <v>0</v>
      </c>
      <c r="L89" s="9"/>
    </row>
    <row r="90" spans="1:12" ht="60" hidden="1" x14ac:dyDescent="0.25">
      <c r="A90" s="5">
        <f t="shared" si="2"/>
        <v>89</v>
      </c>
      <c r="B90" s="6" t="s">
        <v>109</v>
      </c>
      <c r="C90" s="6" t="s">
        <v>110</v>
      </c>
      <c r="D90" s="7" t="s">
        <v>11</v>
      </c>
      <c r="E90" s="7" t="s">
        <v>14</v>
      </c>
      <c r="F90" s="20">
        <v>0</v>
      </c>
      <c r="G90" s="8">
        <v>7500</v>
      </c>
      <c r="H90" s="22">
        <v>7500</v>
      </c>
      <c r="I90" s="22">
        <v>7500</v>
      </c>
      <c r="J90" s="8">
        <v>7500</v>
      </c>
      <c r="K90" s="18">
        <v>7500</v>
      </c>
      <c r="L90" s="24"/>
    </row>
    <row r="91" spans="1:12" ht="195" x14ac:dyDescent="0.25">
      <c r="A91" s="5">
        <f t="shared" si="2"/>
        <v>90</v>
      </c>
      <c r="B91" s="6" t="s">
        <v>149</v>
      </c>
      <c r="C91" s="6" t="s">
        <v>111</v>
      </c>
      <c r="D91" s="6" t="s">
        <v>11</v>
      </c>
      <c r="E91" s="6" t="s">
        <v>14</v>
      </c>
      <c r="F91" s="20">
        <v>0</v>
      </c>
      <c r="G91" s="8">
        <v>10000</v>
      </c>
      <c r="H91" s="20">
        <v>0</v>
      </c>
      <c r="I91" s="38">
        <v>1</v>
      </c>
      <c r="J91" s="38"/>
      <c r="K91" s="36">
        <v>0</v>
      </c>
      <c r="L91" s="24"/>
    </row>
    <row r="92" spans="1:12" x14ac:dyDescent="0.25">
      <c r="A92" s="5">
        <f t="shared" si="2"/>
        <v>91</v>
      </c>
      <c r="B92" s="6" t="s">
        <v>149</v>
      </c>
      <c r="C92" s="6" t="s">
        <v>150</v>
      </c>
      <c r="D92" s="6" t="s">
        <v>11</v>
      </c>
      <c r="E92" s="6" t="s">
        <v>102</v>
      </c>
      <c r="F92" s="20"/>
      <c r="G92" s="20"/>
      <c r="H92" s="20"/>
      <c r="I92" s="8">
        <v>3000</v>
      </c>
      <c r="J92" s="20">
        <v>0</v>
      </c>
      <c r="K92" s="36">
        <v>0</v>
      </c>
      <c r="L92" s="24"/>
    </row>
    <row r="93" spans="1:12" ht="45" hidden="1" x14ac:dyDescent="0.25">
      <c r="A93" s="5">
        <f t="shared" si="2"/>
        <v>92</v>
      </c>
      <c r="B93" s="6" t="s">
        <v>146</v>
      </c>
      <c r="C93" s="6" t="s">
        <v>147</v>
      </c>
      <c r="D93" s="7" t="s">
        <v>11</v>
      </c>
      <c r="E93" s="7" t="s">
        <v>102</v>
      </c>
      <c r="F93" s="20">
        <v>0</v>
      </c>
      <c r="G93" s="20">
        <v>0</v>
      </c>
      <c r="H93" s="20">
        <v>0</v>
      </c>
      <c r="I93" s="8">
        <v>1500</v>
      </c>
      <c r="J93" s="8">
        <v>5000</v>
      </c>
      <c r="K93" s="18">
        <v>1500</v>
      </c>
      <c r="L93" s="9" t="s">
        <v>190</v>
      </c>
    </row>
    <row r="94" spans="1:12" ht="45" x14ac:dyDescent="0.25">
      <c r="A94" s="5">
        <f t="shared" si="2"/>
        <v>93</v>
      </c>
      <c r="B94" s="6" t="s">
        <v>24</v>
      </c>
      <c r="C94" s="6" t="s">
        <v>147</v>
      </c>
      <c r="D94" s="7" t="s">
        <v>11</v>
      </c>
      <c r="E94" s="7" t="s">
        <v>102</v>
      </c>
      <c r="F94" s="20">
        <v>0</v>
      </c>
      <c r="G94" s="20">
        <v>0</v>
      </c>
      <c r="H94" s="20">
        <v>0</v>
      </c>
      <c r="I94" s="8">
        <v>1500</v>
      </c>
      <c r="J94" s="20">
        <v>0</v>
      </c>
      <c r="K94" s="36">
        <v>0</v>
      </c>
      <c r="L94" s="9"/>
    </row>
    <row r="95" spans="1:12" ht="45" x14ac:dyDescent="0.25">
      <c r="A95" s="5">
        <f t="shared" si="2"/>
        <v>94</v>
      </c>
      <c r="B95" s="6" t="s">
        <v>148</v>
      </c>
      <c r="C95" s="6" t="s">
        <v>147</v>
      </c>
      <c r="D95" s="7" t="s">
        <v>11</v>
      </c>
      <c r="E95" s="7" t="s">
        <v>102</v>
      </c>
      <c r="F95" s="20">
        <v>0</v>
      </c>
      <c r="G95" s="20">
        <v>0</v>
      </c>
      <c r="H95" s="20">
        <v>0</v>
      </c>
      <c r="I95" s="8">
        <v>1500</v>
      </c>
      <c r="J95" s="8">
        <v>1500</v>
      </c>
      <c r="K95" s="36">
        <v>0</v>
      </c>
      <c r="L95" s="9"/>
    </row>
    <row r="96" spans="1:12" s="13" customFormat="1" x14ac:dyDescent="0.25">
      <c r="A96" s="5">
        <f t="shared" si="2"/>
        <v>95</v>
      </c>
      <c r="B96" s="53" t="s">
        <v>177</v>
      </c>
      <c r="C96" s="54" t="s">
        <v>178</v>
      </c>
      <c r="D96" s="55" t="s">
        <v>31</v>
      </c>
      <c r="E96" s="55" t="s">
        <v>12</v>
      </c>
      <c r="F96" s="17" t="s">
        <v>157</v>
      </c>
      <c r="G96" s="17" t="s">
        <v>157</v>
      </c>
      <c r="H96" s="17" t="s">
        <v>157</v>
      </c>
      <c r="I96" s="16">
        <v>2500</v>
      </c>
      <c r="J96" s="16">
        <v>2500</v>
      </c>
      <c r="K96" s="36">
        <v>0</v>
      </c>
      <c r="L96" s="9"/>
    </row>
    <row r="97" spans="1:12" x14ac:dyDescent="0.25">
      <c r="A97" s="5">
        <f t="shared" si="2"/>
        <v>96</v>
      </c>
      <c r="B97" s="15" t="s">
        <v>189</v>
      </c>
      <c r="C97" s="6"/>
      <c r="D97" s="48" t="s">
        <v>17</v>
      </c>
      <c r="E97" s="48" t="s">
        <v>12</v>
      </c>
      <c r="F97" s="17">
        <v>0</v>
      </c>
      <c r="G97" s="17">
        <v>0</v>
      </c>
      <c r="H97" s="17">
        <v>0</v>
      </c>
      <c r="I97" s="16">
        <v>2500</v>
      </c>
      <c r="J97" s="16">
        <v>2500</v>
      </c>
      <c r="K97" s="36">
        <v>0</v>
      </c>
      <c r="L97" s="9"/>
    </row>
    <row r="98" spans="1:12" hidden="1" x14ac:dyDescent="0.25">
      <c r="A98" s="5">
        <f t="shared" si="2"/>
        <v>97</v>
      </c>
      <c r="B98" s="15" t="s">
        <v>171</v>
      </c>
      <c r="C98" s="6"/>
      <c r="D98" s="48"/>
      <c r="E98" s="48" t="s">
        <v>102</v>
      </c>
      <c r="F98" s="17">
        <v>0</v>
      </c>
      <c r="G98" s="17">
        <v>0</v>
      </c>
      <c r="H98" s="17">
        <v>0</v>
      </c>
      <c r="I98" s="16">
        <v>1500</v>
      </c>
      <c r="J98" s="17">
        <v>0</v>
      </c>
      <c r="K98" s="18">
        <v>1250</v>
      </c>
      <c r="L98" s="9"/>
    </row>
    <row r="99" spans="1:12" hidden="1" x14ac:dyDescent="0.25">
      <c r="A99" s="5">
        <f t="shared" si="2"/>
        <v>98</v>
      </c>
      <c r="B99" s="15"/>
      <c r="C99" s="6"/>
      <c r="D99" s="48"/>
      <c r="E99" s="48"/>
      <c r="F99" s="16"/>
      <c r="G99" s="16"/>
      <c r="H99" s="16"/>
      <c r="I99" s="16"/>
      <c r="J99" s="16"/>
      <c r="K99" s="16"/>
      <c r="L99" s="9"/>
    </row>
    <row r="101" spans="1:12" ht="18.75" x14ac:dyDescent="0.3">
      <c r="C101" s="27" t="s">
        <v>135</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136</v>
      </c>
      <c r="F103" s="32">
        <f>COUNTIFS(E2:E98, "House", F2:F98, "&lt;&gt;0")</f>
        <v>43</v>
      </c>
      <c r="G103" s="32">
        <f>COUNTIFS(E2:E98, "House", G2:G98, "&lt;&gt;0")</f>
        <v>40</v>
      </c>
      <c r="H103" s="32">
        <f>COUNTIFS(E2:E98, "House", H2:H98, "&lt;&gt;0")</f>
        <v>39</v>
      </c>
      <c r="I103" s="32">
        <f>COUNTIFS(E2:E98, "House", I2:I98, "&lt;&gt;0")</f>
        <v>45</v>
      </c>
      <c r="J103" s="32">
        <f>COUNTIFS(E2:E98, "House", J2:J98, "&lt;&gt;0")</f>
        <v>39</v>
      </c>
      <c r="K103" s="32">
        <f>COUNTIFS(E2:E98, "House", K2:K98, "&lt;&gt;0")</f>
        <v>19</v>
      </c>
    </row>
    <row r="104" spans="1:12" ht="18.75" x14ac:dyDescent="0.3">
      <c r="D104" s="28"/>
      <c r="E104" s="30" t="s">
        <v>137</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5</v>
      </c>
    </row>
    <row r="105" spans="1:12" ht="18.75" x14ac:dyDescent="0.3">
      <c r="D105" s="28"/>
      <c r="E105" s="30" t="s">
        <v>138</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16</v>
      </c>
      <c r="K105" s="32">
        <f>COUNTIFS(E2:E98, "Ind. Apartment", K2:K98, "&lt;&gt;0")</f>
        <v>11</v>
      </c>
    </row>
    <row r="106" spans="1:12" ht="18.75" x14ac:dyDescent="0.3">
      <c r="C106" s="33"/>
      <c r="D106" s="28"/>
      <c r="E106" s="28"/>
      <c r="F106" s="34"/>
      <c r="G106" s="34"/>
      <c r="H106" s="34"/>
      <c r="I106" s="34"/>
      <c r="J106" s="34"/>
      <c r="K106" s="34"/>
    </row>
    <row r="108" spans="1:12" ht="18.75" x14ac:dyDescent="0.3">
      <c r="C108" s="31" t="s">
        <v>139</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4</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5</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4</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5</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3</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20</v>
      </c>
      <c r="G117" s="32">
        <f>COUNTIFS(D2:D98, "Seethammal Road", G2:G98, "&lt;&gt;0")</f>
        <v>16</v>
      </c>
      <c r="H117" s="32">
        <f>COUNTIFS(D2:D98, "Seethammal Road", H2:H98, "&lt;&gt;0")</f>
        <v>16</v>
      </c>
      <c r="I117" s="32">
        <f>COUNTIFS(D2:D98, "Seethammal Road", I2:I98, "&lt;&gt;0")</f>
        <v>21</v>
      </c>
      <c r="J117" s="32">
        <f>COUNTIFS(D2:D98, "Seethammal Road", J2:J98, "&lt;&gt;0")</f>
        <v>17</v>
      </c>
      <c r="K117" s="32">
        <f>COUNTIFS(D2:D98, "Seethammal Road", K2:K98, "&lt;&gt;0")</f>
        <v>11</v>
      </c>
    </row>
  </sheetData>
  <autoFilter ref="A1:L99">
    <filterColumn colId="10">
      <filters>
        <filter val="0.00"/>
      </filters>
    </filterColumn>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2026-09-09T07:20:40Z</dcterms:modified>
</cp:coreProperties>
</file>