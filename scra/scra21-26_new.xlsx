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53" i="24" l="1"/>
  <c r="I52" i="24"/>
  <c r="G50" i="24" l="1"/>
  <c r="G46" i="24"/>
  <c r="I32" i="24"/>
  <c r="I33" i="24" s="1"/>
  <c r="I34" i="24" s="1"/>
  <c r="I35" i="24" s="1"/>
  <c r="I36" i="24" s="1"/>
  <c r="I20" i="24" l="1"/>
  <c r="I21" i="24" s="1"/>
  <c r="I22" i="24" s="1"/>
  <c r="I23" i="24" s="1"/>
  <c r="I24" i="24" s="1"/>
  <c r="I25" i="24" s="1"/>
  <c r="I26" i="24" s="1"/>
  <c r="I27" i="24" s="1"/>
  <c r="I28" i="24" s="1"/>
  <c r="I29" i="24" s="1"/>
  <c r="I30" i="24" s="1"/>
  <c r="I31" i="24" s="1"/>
  <c r="I19" i="24"/>
  <c r="I18" i="24"/>
  <c r="I17" i="24" l="1"/>
  <c r="I16" i="24"/>
  <c r="I15" i="24"/>
  <c r="I14" i="24"/>
  <c r="F180" i="20" l="1"/>
  <c r="M13" i="24" l="1"/>
  <c r="M12" i="24"/>
  <c r="I13" i="24"/>
  <c r="I12" i="24"/>
  <c r="M11" i="24" l="1"/>
  <c r="I11" i="24"/>
  <c r="L50" i="24"/>
  <c r="I59" i="24"/>
  <c r="M6" i="24"/>
  <c r="M7" i="24" s="1"/>
  <c r="M8" i="24" s="1"/>
  <c r="M9" i="24" s="1"/>
  <c r="M10" i="24" s="1"/>
  <c r="I6" i="24"/>
  <c r="I7" i="24" s="1"/>
  <c r="I8" i="24" s="1"/>
  <c r="I9" i="24" s="1"/>
  <c r="I10" i="24" s="1"/>
  <c r="G59" i="24" l="1"/>
  <c r="I61"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<sst xmlns="http://schemas.openxmlformats.org/spreadsheetml/2006/main" count="3824" uniqueCount="1647">
  <si>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</si>
  <si>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</si>
  <si>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</si>
  <si>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</si>
  <si>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</si>
  <si>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</si>
  <si>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</si>
  <si>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</si>
  <si>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</si>
  <si>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</si>
  <si>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</si>
  <si>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</si>
  <si>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</si>
  <si>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</si>
  <si>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</si>
  <si>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</si>
  <si>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</si>
  <si>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</si>
  <si>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</si>
  <si>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</si>
  <si>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</si>
  <si>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</si>
  <si>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</si>
  <si>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</si>
  <si>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</si>
  <si>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</si>
  <si>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</si>
  <si>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</si>
  <si>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</si>
  <si>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</si>
  <si>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</si>
  <si>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</si>
  <si>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</si>
  <si>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</si>
  <si>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</si>
  <si>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</si>
  <si>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</si>
  <si>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</si>
  <si>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</si>
  <si>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</si>
  <si>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</si>
  <si>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</si>
  <si>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</si>
  <si>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</si>
  <si>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</si>
  <si>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</si>
  <si>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</si>
  <si>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</si>
  <si>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</si>
  <si>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</si>
  <si>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</si>
  <si>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</si>
  <si>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</si>
  <si>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</si>
  <si>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</si>
  <si>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</si>
  <si>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</si>
  <si>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</si>
  <si>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</si>
  <si>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</si>
  <si>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</si>
  <si>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</si>
  <si>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</si>
  <si>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</si>
  <si>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</si>
  <si>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</si>
  <si>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</si>
  <si>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</si>
  <si>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</si>
  <si>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</si>
  <si>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</si>
  <si>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</si>
  <si>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</si>
  <si>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</si>
  <si>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</si>
  <si>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</si>
  <si>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</si>
  <si>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</si>
  <si>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</si>
  <si>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</si>
  <si>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</si>
  <si>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</si>
  <si>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</si>
  <si>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</si>
  <si>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</si>
  <si>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</si>
  <si>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</si>
  <si>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</si>
  <si>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</si>
  <si>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</si>
  <si>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</si>
  <si>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</si>
  <si>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</si>
  <si>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</si>
  <si>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</si>
  <si>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</si>
  <si>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</si>
  <si>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</si>
  <si>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</si>
  <si>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</si>
  <si>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</si>
  <si>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</si>
  <si>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</si>
  <si>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</si>
  <si>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</si>
  <si>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</si>
  <si>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</si>
  <si>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</si>
  <si>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</si>
  <si>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</si>
  <si>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</si>
  <si>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</si>
  <si>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</si>
  <si>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</si>
  <si>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</si>
  <si>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</si>
  <si>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</si>
  <si>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</si>
  <si>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</si>
  <si>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</si>
  <si>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</si>
  <si>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</si>
  <si>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</si>
  <si>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</si>
  <si>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</si>
  <si>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</si>
  <si>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</si>
  <si>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</si>
  <si>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</si>
  <si>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</si>
  <si>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</si>
  <si>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</si>
  <si>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</si>
  <si>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</si>
  <si>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</si>
  <si>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</si>
  <si>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</si>
  <si>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</si>
  <si>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</si>
  <si>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</si>
  <si>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</si>
  <si>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</si>
  <si>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</si>
  <si>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</si>
  <si>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</si>
  <si>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</si>
  <si>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</si>
  <si>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</si>
  <si>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</si>
  <si>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</si>
  <si>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</si>
  <si>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</si>
  <si>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</si>
  <si>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</si>
  <si>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</si>
  <si>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</si>
  <si>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</si>
  <si>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</si>
  <si>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</si>
  <si>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</si>
  <si>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</si>
  <si>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</si>
  <si>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</si>
  <si>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</si>
  <si>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</si>
  <si>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</si>
  <si>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</si>
  <si>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</si>
  <si>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</si>
  <si>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</si>
  <si>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</si>
  <si>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</si>
  <si>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</si>
  <si>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</si>
  <si>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</si>
  <si>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</si>
  <si>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</si>
  <si>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</si>
  <si>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</si>
  <si>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</si>
  <si>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</si>
  <si>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</si>
  <si>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</si>
  <si>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</si>
  <si>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</si>
  <si>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</si>
  <si>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</si>
  <si>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</si>
  <si>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</si>
  <si>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</si>
  <si>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</si>
  <si>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</si>
  <si>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</si>
  <si>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</si>
  <si>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</si>
  <si>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</si>
  <si>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</si>
  <si>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</si>
  <si>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</si>
  <si>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</si>
  <si>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</si>
  <si>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</si>
  <si>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</si>
  <si>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</si>
  <si>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</si>
  <si>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</si>
  <si>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</si>
  <si>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</si>
  <si>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</si>
  <si>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</si>
  <si>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</si>
  <si>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</si>
  <si>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</si>
  <si>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</si>
  <si>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</si>
  <si>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</si>
  <si>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</si>
  <si>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</si>
  <si>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</si>
  <si>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</si>
  <si>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</si>
  <si>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</si>
  <si>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</si>
  <si>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</si>
  <si>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</si>
  <si>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</si>
  <si>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</si>
  <si>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</si>
  <si>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</si>
  <si>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</si>
  <si>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</si>
  <si>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</si>
  <si>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</si>
  <si>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</si>
  <si>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</si>
  <si>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</si>
  <si>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</si>
  <si>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</si>
  <si>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</si>
  <si>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</si>
  <si>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</si>
  <si>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</si>
  <si>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</si>
  <si>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</si>
  <si>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</si>
  <si>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</si>
  <si>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</si>
  <si>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</si>
  <si>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</si>
  <si>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</si>
  <si>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</si>
  <si>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</si>
  <si>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</si>
  <si>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</si>
  <si>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</si>
  <si>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</si>
  <si>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</si>
  <si>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</si>
  <si>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</si>
  <si>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</si>
  <si>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</si>
  <si>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</si>
  <si>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</si>
  <si>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</si>
  <si>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</si>
  <si>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</si>
  <si>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</si>
  <si>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</si>
  <si>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</si>
  <si>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</si>
  <si>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</si>
  <si>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</si>
  <si>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</si>
  <si>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</si>
  <si>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</si>
  <si>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</si>
  <si>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</si>
  <si>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</si>
  <si>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</si>
  <si>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</si>
  <si>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</si>
  <si>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</si>
  <si>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</si>
  <si>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</si>
  <si>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</si>
  <si>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</si>
  <si>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</si>
  <si>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</si>
  <si>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</si>
  <si>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</si>
  <si>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</si>
  <si>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</si>
  <si>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</si>
  <si>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</si>
  <si>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</si>
  <si>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</si>
  <si>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</si>
  <si>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</si>
  <si>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</si>
  <si>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</si>
  <si>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</si>
  <si>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</si>
  <si>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</si>
  <si>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</si>
  <si>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</si>
  <si>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</si>
  <si>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</si>
  <si>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</si>
  <si>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</si>
  <si>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</si>
  <si>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</si>
  <si>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</si>
  <si>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</si>
  <si>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</si>
  <si>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</si>
  <si>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</si>
  <si>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</si>
  <si>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</si>
  <si>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</si>
  <si>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</si>
  <si>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</si>
  <si>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</si>
  <si>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</si>
  <si>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</si>
  <si>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</si>
  <si>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</si>
  <si>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</si>
  <si>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</si>
  <si>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</si>
  <si>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</si>
  <si>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</si>
  <si>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</si>
  <si>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</si>
  <si>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</si>
  <si>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</si>
  <si>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</si>
  <si>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</si>
  <si>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</si>
  <si>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</si>
  <si>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</si>
  <si>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</si>
  <si>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</si>
  <si>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</si>
  <si>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</si>
  <si>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</si>
  <si>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</si>
  <si>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</si>
  <si>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</si>
  <si>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</si>
  <si>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</si>
  <si>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</si>
  <si>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</si>
  <si>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</si>
  <si>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</si>
  <si>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</si>
  <si>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</si>
  <si>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</si>
  <si>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</si>
  <si>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</si>
  <si>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</si>
  <si>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</si>
  <si>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</si>
  <si>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</si>
  <si>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</si>
  <si>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</si>
  <si>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</si>
  <si>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</si>
  <si>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</si>
  <si>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</si>
  <si>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</si>
  <si>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</si>
  <si>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</si>
  <si>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</si>
  <si>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</si>
  <si>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</si>
  <si>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</si>
  <si>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</si>
  <si>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</si>
  <si>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</si>
  <si>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</si>
  <si>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</si>
  <si>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</si>
  <si>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</si>
  <si>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</si>
  <si>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</si>
  <si>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</si>
  <si>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</si>
  <si>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</si>
  <si>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</si>
  <si>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</si>
  <si>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</si>
  <si>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</si>
  <si>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</si>
  <si>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</si>
  <si>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</si>
  <si>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</si>
  <si>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</si>
  <si>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</si>
  <si>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</si>
  <si>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</si>
  <si>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</si>
  <si>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</si>
  <si>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</si>
  <si>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</si>
  <si>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</si>
  <si>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</si>
  <si>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</si>
  <si>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</si>
  <si>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</si>
  <si>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</si>
  <si>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</si>
  <si>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</si>
  <si>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</si>
  <si>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</si>
  <si>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</si>
  <si>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</si>
  <si>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</si>
  <si>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</si>
  <si>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</si>
  <si>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</si>
  <si>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</si>
  <si>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</si>
  <si>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</si>
  <si>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</si>
  <si>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</si>
  <si>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</si>
  <si>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</si>
  <si>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</si>
  <si>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</si>
  <si>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</si>
  <si>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</si>
  <si>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</si>
  <si>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</si>
  <si>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</si>
  <si>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</si>
  <si>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</si>
  <si>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</si>
  <si>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</si>
  <si>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</si>
  <si>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</si>
  <si>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</si>
  <si>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</si>
  <si>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</si>
  <si>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</si>
  <si>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</si>
  <si>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</si>
  <si>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</si>
  <si>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</si>
  <si>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</si>
  <si>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</si>
  <si>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</si>
  <si>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</si>
  <si>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</si>
  <si>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</si>
  <si>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</si>
  <si>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</si>
  <si>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</si>
  <si>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</si>
  <si>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</si>
  <si>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</si>
  <si>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</si>
  <si>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</si>
  <si>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</si>
  <si>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</si>
  <si>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</si>
  <si>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</si>
  <si>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</si>
  <si>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</si>
  <si>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</si>
  <si>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</si>
  <si>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</si>
  <si>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</si>
  <si>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</si>
  <si>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</si>
  <si>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</si>
  <si>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</si>
  <si>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</si>
  <si>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</si>
  <si>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</si>
  <si>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</si>
  <si>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</si>
  <si>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</si>
  <si>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</si>
  <si>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</si>
  <si>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</si>
  <si>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</si>
  <si>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</si>
  <si>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</si>
  <si>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</si>
  <si>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</si>
  <si>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</si>
  <si>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</si>
  <si>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</si>
  <si>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</si>
  <si>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</si>
  <si>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</si>
  <si>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</si>
  <si>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</si>
  <si>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</si>
  <si>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</si>
  <si>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</si>
  <si>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</si>
  <si>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</si>
  <si>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</si>
  <si>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</si>
  <si>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</si>
  <si>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</si>
  <si>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</si>
  <si>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</si>
  <si>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</si>
  <si>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</si>
  <si>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</si>
  <si>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</si>
  <si>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</si>
  <si>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</si>
  <si>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</si>
  <si>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</si>
  <si>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</si>
  <si>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</si>
  <si>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</si>
  <si>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</si>
  <si>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</si>
  <si>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</si>
  <si>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</si>
  <si>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</si>
  <si>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</si>
  <si>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</si>
  <si>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</si>
  <si>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</si>
  <si>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</si>
  <si>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</si>
  <si>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</si>
  <si>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</si>
  <si>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</si>
  <si>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</si>
  <si>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</si>
  <si>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</si>
  <si>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</si>
  <si>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</si>
  <si>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</si>
  <si>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</si>
  <si>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</si>
  <si>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</si>
  <si>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</si>
  <si>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</si>
  <si>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</si>
  <si>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</si>
  <si>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</si>
  <si>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</si>
  <si>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</si>
  <si>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</si>
  <si>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</si>
  <si>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</si>
  <si>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</si>
  <si>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</si>
  <si>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</si>
  <si>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</si>
  <si>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</si>
  <si>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</si>
  <si>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</si>
  <si>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</si>
  <si>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</si>
  <si>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</si>
  <si>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</si>
  <si>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</si>
  <si>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</si>
  <si>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</si>
  <si>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</si>
  <si>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</si>
  <si>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</si>
  <si>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</si>
  <si>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</si>
  <si>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</si>
  <si>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</si>
  <si>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</si>
  <si>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</si>
  <si>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</si>
  <si>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</si>
  <si>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</si>
  <si>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</si>
  <si>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</si>
  <si>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</si>
  <si>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</si>
  <si>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</si>
  <si>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</si>
  <si>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</si>
  <si>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</si>
  <si>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</si>
  <si>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</si>
  <si>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</si>
  <si>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</si>
  <si>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</si>
  <si>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</si>
  <si>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</si>
  <si>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</si>
  <si>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</si>
  <si>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</si>
  <si>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</si>
  <si>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</si>
  <si>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</si>
  <si>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</si>
  <si>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</si>
  <si>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</si>
  <si>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</si>
  <si>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</si>
  <si>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</si>
  <si>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</si>
  <si>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</si>
  <si>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</si>
  <si>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</si>
  <si>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</si>
  <si>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</si>
  <si>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</si>
  <si>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</si>
  <si>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</si>
  <si>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</si>
  <si>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</si>
  <si>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</si>
  <si>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</si>
  <si>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</si>
  <si>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</si>
  <si>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</si>
  <si>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</si>
  <si>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</si>
  <si>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</si>
  <si>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</si>
  <si>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</si>
  <si>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</si>
  <si>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</si>
  <si>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</si>
  <si>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</si>
  <si>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</si>
  <si>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</si>
  <si>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</si>
  <si>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</si>
  <si>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</si>
  <si>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</si>
  <si>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</si>
  <si>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</si>
  <si>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</si>
  <si>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</si>
  <si>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</si>
  <si>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</si>
  <si>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</si>
  <si>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</si>
  <si>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</si>
  <si>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</si>
  <si>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</si>
  <si>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</si>
  <si>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</si>
  <si>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</si>
  <si>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</si>
  <si>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</si>
  <si>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</si>
  <si>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</si>
  <si>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</si>
  <si>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</si>
  <si>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</si>
  <si>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</si>
  <si>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</si>
  <si>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</si>
  <si>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</si>
  <si>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</si>
  <si>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</si>
  <si>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</si>
  <si>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</si>
  <si>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</si>
  <si>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</si>
  <si>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</si>
  <si>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</si>
  <si>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</si>
  <si>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</si>
  <si>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</si>
  <si>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</si>
  <si>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</si>
  <si>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</si>
  <si>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</si>
  <si>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</si>
  <si>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</si>
  <si>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</si>
  <si>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</si>
  <si>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</si>
  <si>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</si>
  <si>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</si>
  <si>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</si>
  <si>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</si>
  <si>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</si>
  <si>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</si>
  <si>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</si>
  <si>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</si>
  <si>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</si>
  <si>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</si>
  <si>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</si>
  <si>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</si>
  <si>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</si>
  <si>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</si>
  <si>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</si>
  <si>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</si>
  <si>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</si>
  <si>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</si>
  <si>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</si>
  <si>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</si>
  <si>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</si>
  <si>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</si>
  <si>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</si>
  <si>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</si>
  <si>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</si>
  <si>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</si>
  <si>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</si>
  <si>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</si>
  <si>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</si>
  <si>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</si>
  <si>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</si>
  <si>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</si>
  <si>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</si>
  <si>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</si>
  <si>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</si>
  <si>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</si>
  <si>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</si>
  <si>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</si>
  <si>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</si>
  <si>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</si>
  <si>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</si>
  <si>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</si>
  <si>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</si>
  <si>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</si>
  <si>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</si>
  <si>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</si>
  <si>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</si>
  <si>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</si>
  <si>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</si>
  <si>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</si>
  <si>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</si>
  <si>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</si>
  <si>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</si>
  <si>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</si>
  <si>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</si>
  <si>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</si>
  <si>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</si>
  <si>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</si>
  <si>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</si>
  <si>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</si>
  <si>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</si>
  <si>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</si>
  <si>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</si>
  <si>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</si>
  <si>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</si>
  <si>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</si>
  <si>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</si>
  <si>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</si>
  <si>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</si>
  <si>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</si>
  <si>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</si>
  <si>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</si>
  <si>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</si>
  <si>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</si>
  <si>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</si>
  <si>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</si>
  <si>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</si>
  <si>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</si>
  <si>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</si>
  <si>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</si>
  <si>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</si>
  <si>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</si>
  <si>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</si>
  <si>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</si>
  <si>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</si>
  <si>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</si>
  <si>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</si>
  <si>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</si>
  <si>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</si>
  <si>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</si>
  <si>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</si>
  <si>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</si>
  <si>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</si>
  <si>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</si>
  <si>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</si>
  <si>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</si>
  <si>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</si>
  <si>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</si>
  <si>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</si>
  <si>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</si>
  <si>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</si>
  <si>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</si>
  <si>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</si>
  <si>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</si>
  <si>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</si>
  <si>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</si>
  <si>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</si>
  <si>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</si>
  <si>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</si>
  <si>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</si>
  <si>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</si>
  <si>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</si>
  <si>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</si>
  <si>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</si>
  <si>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</si>
  <si>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</si>
  <si>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</si>
  <si>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</si>
  <si>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</si>
  <si>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</si>
  <si>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</si>
  <si>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</si>
  <si>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</si>
  <si>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</si>
  <si>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</si>
  <si>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</si>
  <si>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</si>
  <si>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</si>
  <si>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</si>
  <si>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</si>
  <si>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</si>
  <si>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</si>
  <si>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</si>
  <si>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</si>
  <si>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</si>
  <si>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</si>
  <si>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</si>
  <si>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</si>
  <si>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</si>
  <si>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</si>
  <si>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</si>
  <si>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</si>
  <si>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</si>
  <si>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</si>
  <si>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</si>
  <si>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</si>
  <si>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</si>
  <si>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</si>
  <si>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</si>
  <si>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</si>
  <si>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</si>
  <si>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</si>
  <si>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</si>
  <si>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</si>
  <si>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</si>
  <si>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</si>
  <si>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</si>
  <si>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</si>
  <si>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</si>
  <si>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</si>
  <si>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</si>
  <si>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</si>
  <si>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</si>
  <si>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</si>
  <si>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</si>
  <si>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</si>
  <si>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</si>
  <si>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</si>
  <si>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</si>
  <si>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</si>
  <si>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</si>
  <si>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</si>
  <si>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</si>
  <si>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</si>
  <si>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</si>
  <si>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</si>
  <si>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</si>
  <si>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</si>
  <si>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</si>
  <si>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</si>
  <si>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</si>
  <si>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</si>
  <si>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</si>
  <si>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</si>
  <si>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</si>
  <si>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</si>
  <si>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</si>
  <si>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</si>
  <si>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</si>
  <si>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</si>
  <si>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</si>
  <si>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</si>
  <si>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</si>
  <si>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</si>
  <si>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</si>
  <si>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</si>
  <si>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</si>
  <si>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</si>
  <si>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</si>
  <si>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</si>
  <si>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</si>
  <si>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</si>
  <si>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</si>
  <si>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</si>
  <si>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</si>
  <si>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</si>
  <si>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</si>
  <si>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</si>
  <si>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</si>
  <si>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</si>
  <si>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</si>
  <si>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</si>
  <si>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</si>
  <si>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</si>
  <si>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</si>
  <si>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</si>
  <si>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</si>
  <si>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</si>
  <si>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</si>
  <si>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</si>
  <si>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</si>
  <si>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</si>
  <si>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</si>
  <si>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</si>
  <si>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</si>
  <si>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</si>
  <si>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</si>
  <si>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</si>
  <si>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</si>
  <si>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</si>
  <si>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</si>
  <si>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</si>
  <si>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</si>
  <si>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</si>
  <si>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</si>
  <si>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</si>
  <si>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</si>
  <si>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</si>
  <si>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</si>
  <si>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</si>
  <si>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</si>
  <si>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</si>
  <si>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</si>
  <si>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</si>
  <si>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</si>
  <si>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</si>
  <si>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</si>
  <si>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</si>
  <si>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</si>
  <si>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</si>
  <si>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</si>
  <si>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</si>
  <si>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</si>
  <si>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</si>
  <si>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</si>
  <si>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</si>
  <si>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</si>
  <si>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</si>
  <si>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</si>
  <si>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</si>
  <si>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</si>
  <si>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</si>
  <si>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</si>
  <si>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</si>
  <si>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</si>
  <si>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</si>
  <si>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</si>
  <si>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</si>
  <si>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</si>
  <si>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</si>
  <si>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</si>
  <si>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</si>
  <si>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</si>
  <si>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</si>
  <si>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</si>
  <si>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</si>
  <si>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</si>
  <si>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</si>
  <si>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</si>
  <si>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</si>
  <si>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</si>
  <si>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</si>
  <si>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</si>
  <si>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</si>
  <si>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</si>
  <si>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</si>
  <si>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</si>
  <si>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</si>
  <si>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</si>
  <si>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</si>
  <si>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</si>
  <si>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</si>
  <si>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</si>
  <si>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</si>
  <si>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</si>
  <si>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</si>
  <si>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</si>
  <si>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</si>
  <si>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</si>
  <si>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</si>
  <si>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</si>
  <si>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</si>
  <si>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</si>
  <si>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</si>
  <si>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</si>
  <si>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</si>
  <si>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</si>
  <si>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</si>
  <si>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</si>
  <si>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</si>
  <si>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</si>
  <si>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</si>
  <si>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</si>
  <si>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</si>
  <si>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</si>
  <si>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</si>
  <si>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</si>
  <si>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</si>
  <si>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</si>
  <si>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</si>
  <si>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</si>
  <si>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</si>
  <si>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</si>
  <si>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</si>
  <si>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</si>
  <si>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</si>
  <si>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</si>
  <si>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</si>
  <si>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</si>
  <si>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</si>
  <si>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</si>
  <si>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</si>
  <si>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</si>
  <si>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</si>
  <si>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</si>
  <si>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</si>
  <si>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</si>
  <si>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</si>
  <si>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</si>
  <si>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</si>
  <si>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</si>
  <si>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</si>
  <si>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</si>
  <si>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</si>
  <si>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</si>
  <si>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</si>
  <si>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</si>
  <si>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</si>
  <si>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</si>
  <si>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</si>
  <si>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</si>
  <si>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</si>
  <si>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</si>
  <si>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</si>
  <si>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</si>
  <si>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</si>
  <si>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</si>
  <si>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</si>
  <si>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</si>
  <si>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</si>
  <si>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</si>
  <si>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</si>
  <si>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</si>
  <si>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</si>
  <si>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</si>
  <si>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</si>
  <si>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</si>
  <si>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</si>
  <si>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</si>
  <si>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</si>
  <si>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</si>
  <si>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</si>
  <si>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</si>
  <si>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</si>
  <si>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</si>
  <si>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</si>
  <si>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</si>
  <si>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</si>
  <si>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</si>
  <si>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</si>
  <si>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</si>
  <si>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</si>
  <si>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</si>
  <si>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</si>
  <si>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</si>
  <si>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</si>
  <si>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</si>
  <si>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</si>
  <si>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</si>
  <si>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</si>
  <si>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</si>
  <si>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</si>
  <si>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</si>
  <si>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</si>
  <si>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</si>
  <si>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</si>
  <si>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</si>
  <si>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</si>
  <si>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</si>
  <si>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</si>
  <si>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</si>
  <si>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</si>
  <si>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</si>
  <si>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</si>
  <si>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</si>
  <si>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</si>
  <si>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</si>
  <si>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</si>
  <si>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</si>
  <si>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</si>
  <si>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</si>
  <si>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</si>
  <si>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</si>
  <si>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</si>
  <si>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</si>
  <si>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</si>
  <si>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</si>
  <si>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</si>
  <si>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</si>
  <si>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</si>
  <si>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</si>
  <si>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</si>
  <si>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</si>
  <si>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</si>
  <si>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</si>
  <si>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</si>
  <si>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</si>
  <si>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</si>
  <si>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</si>
  <si>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</si>
  <si>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</si>
  <si>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</si>
  <si>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</si>
  <si>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</si>
  <si>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</si>
  <si>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</si>
  <si>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</si>
  <si>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</si>
  <si>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</si>
  <si>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</si>
  <si>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</si>
  <si>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</si>
  <si>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</si>
  <si>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</si>
  <si>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</si>
  <si>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</si>
  <si>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</si>
  <si>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</si>
  <si>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</si>
  <si>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</si>
  <si>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</si>
  <si>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</si>
  <si>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</si>
  <si>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</si>
  <si>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</si>
  <si>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</si>
  <si>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</si>
  <si>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</si>
  <si>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</si>
  <si>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</si>
  <si>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</si>
  <si>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</si>
  <si>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</si>
  <si>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</si>
  <si>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</si>
  <si>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</si>
  <si>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</si>
  <si>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</si>
  <si>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</si>
  <si>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</si>
  <si>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</si>
  <si>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</si>
  <si>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</si>
  <si>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</si>
  <si>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</si>
  <si>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</si>
  <si>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</si>
  <si>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</si>
  <si>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</si>
  <si>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</si>
  <si>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</si>
  <si>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</si>
  <si>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</si>
  <si>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</si>
  <si>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</si>
  <si>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</si>
  <si>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</si>
  <si>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</si>
  <si>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</si>
  <si>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</si>
  <si>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</si>
  <si>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</si>
  <si>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</si>
  <si>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</si>
  <si>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</si>
  <si>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</si>
  <si>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</si>
  <si>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</si>
  <si>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</si>
  <si>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</si>
  <si>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</si>
  <si>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</si>
  <si>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</si>
  <si>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</si>
  <si>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</si>
  <si>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</si>
  <si>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</si>
  <si>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</si>
  <si>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</si>
  <si>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</si>
  <si>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</si>
  <si>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</si>
  <si>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</si>
  <si>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</si>
  <si>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</si>
  <si>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</si>
  <si>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</si>
  <si>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</si>
  <si>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</si>
  <si>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</si>
  <si>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</si>
  <si>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</si>
  <si>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</si>
  <si>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</si>
  <si>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</si>
  <si>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</si>
  <si>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</si>
  <si>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</si>
  <si>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</si>
  <si>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</si>
  <si>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</si>
  <si>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</si>
  <si>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</si>
  <si>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</si>
  <si>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</si>
  <si>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</si>
  <si>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</si>
  <si>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</si>
  <si>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</si>
  <si>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</si>
  <si>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</si>
  <si>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</si>
  <si>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</si>
  <si>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</si>
  <si>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</si>
  <si>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</si>
  <si>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</si>
  <si>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</si>
  <si>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</si>
  <si>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</si>
  <si>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</si>
  <si>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</si>
  <si>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</si>
  <si>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</si>
  <si>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</si>
  <si>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</si>
  <si>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</si>
  <si>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</si>
  <si>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</si>
  <si>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</si>
  <si>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</si>
  <si>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</si>
  <si>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</si>
  <si>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</si>
  <si>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</si>
  <si>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</si>
  <si>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</si>
  <si>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</si>
  <si>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</si>
  <si>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</si>
  <si>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</si>
  <si>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</si>
  <si>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</si>
  <si>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</si>
  <si>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</si>
  <si>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</si>
  <si>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</si>
  <si>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</si>
  <si>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</si>
  <si>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</si>
  <si>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</si>
  <si>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</si>
  <si>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</si>
  <si>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</si>
  <si>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</si>
  <si>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</si>
  <si>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</si>
  <si>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</si>
  <si>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</si>
  <si>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</si>
  <si>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</si>
  <si>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</si>
  <si>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</si>
  <si>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</si>
  <si>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</si>
  <si>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</si>
  <si>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</si>
  <si>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</si>
  <si>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</si>
  <si>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</si>
  <si>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</si>
  <si>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</si>
  <si>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</si>
  <si>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</si>
  <si>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</si>
  <si>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</si>
  <si>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</si>
  <si>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</si>
  <si>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</si>
  <si>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</si>
  <si>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</si>
  <si>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</si>
  <si>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</si>
  <si>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</si>
  <si>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</si>
  <si>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</si>
  <si>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</si>
  <si>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</si>
  <si>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</si>
  <si>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</si>
  <si>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</si>
  <si>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</si>
  <si>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</si>
  <si>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</si>
  <si>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</si>
  <si>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</si>
  <si>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</si>
  <si>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</si>
  <si>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</si>
  <si>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</si>
  <si>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</si>
  <si>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</si>
  <si>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</si>
  <si>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</si>
  <si>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</si>
  <si>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</si>
  <si>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</si>
  <si>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</si>
  <si>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</si>
  <si>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</si>
  <si>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</si>
  <si>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</si>
  <si>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</si>
  <si>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</si>
  <si>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</si>
  <si>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</si>
  <si>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</si>
  <si>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</si>
  <si>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</si>
  <si>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</si>
  <si>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</si>
  <si>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</si>
  <si>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</si>
  <si>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</si>
  <si>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</si>
  <si>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</si>
  <si>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</si>
  <si>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</si>
  <si>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</si>
  <si>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</si>
  <si>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</si>
  <si>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</si>
  <si>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</si>
  <si>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</si>
  <si>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</si>
  <si>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</si>
  <si>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</si>
  <si>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</si>
  <si>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</si>
  <si>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</si>
  <si>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</si>
  <si>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</si>
  <si>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</si>
  <si>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</si>
  <si>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</si>
  <si>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</si>
  <si>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</si>
  <si>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</si>
  <si>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</si>
  <si>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</si>
  <si>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</si>
  <si>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</si>
  <si>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</si>
  <si>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</si>
  <si>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</si>
  <si>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</si>
  <si>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</si>
  <si>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</si>
  <si>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</si>
  <si>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</si>
  <si>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</si>
  <si>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</si>
  <si>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</si>
  <si>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</si>
  <si>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</si>
  <si>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</si>
  <si>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</si>
  <si>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</si>
  <si>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</si>
  <si>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</si>
  <si>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</si>
  <si>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</si>
  <si>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</si>
  <si>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</si>
  <si>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</si>
  <si>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</si>
  <si>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</si>
  <si>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</si>
  <si>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</si>
  <si>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</si>
  <si>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</si>
  <si>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</si>
  <si>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</si>
  <si>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</si>
  <si>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</si>
  <si>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</si>
  <si>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</si>
  <si>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</si>
  <si>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</si>
  <si>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</si>
  <si>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</si>
  <si>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</si>
  <si>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</si>
  <si>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</si>
  <si>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</si>
  <si>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</si>
  <si>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</si>
  <si>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</si>
  <si>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</si>
  <si>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</si>
  <si>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</si>
  <si>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</si>
  <si>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</si>
  <si>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</si>
  <si>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</si>
  <si>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</si>
  <si>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</si>
  <si>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</si>
  <si>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</si>
  <si>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</si>
  <si>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</si>
  <si>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</si>
  <si>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</si>
  <si>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</si>
  <si>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</si>
  <si>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</si>
  <si>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</si>
  <si>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</si>
  <si>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</si>
  <si>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</si>
  <si>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</si>
  <si>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</si>
  <si>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</si>
  <si>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</si>
  <si>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</si>
  <si>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</si>
  <si>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</si>
  <si>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</si>
  <si>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</si>
  <si>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</si>
  <si>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</si>
  <si>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</si>
  <si>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</si>
  <si>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</si>
  <si>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</si>
  <si>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</si>
  <si>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</si>
  <si>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</si>
  <si>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</si>
  <si>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</si>
  <si>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</si>
  <si>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</si>
  <si>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</si>
  <si>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</si>
  <si>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</si>
  <si>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</si>
  <si>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</si>
  <si>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</si>
  <si>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</si>
  <si>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</si>
  <si>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</si>
  <si>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</si>
  <si>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</si>
  <si>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</si>
  <si>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</si>
  <si>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</si>
  <si>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</si>
  <si>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</si>
  <si>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</si>
  <si>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</si>
  <si>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</si>
  <si>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</si>
  <si>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</si>
  <si>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</si>
  <si>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</si>
  <si>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</si>
  <si>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</si>
  <si>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</si>
  <si>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</si>
  <si>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</si>
  <si>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</si>
  <si>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</si>
  <si>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</si>
  <si>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</si>
  <si>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</si>
  <si>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</si>
  <si>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</si>
  <si>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</si>
  <si>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</si>
  <si>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</si>
  <si>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</si>
  <si>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</si>
  <si>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</si>
  <si>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</si>
  <si>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</si>
  <si>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</si>
  <si>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</si>
  <si>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</si>
  <si>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</si>
  <si>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</si>
  <si>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</si>
  <si>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</si>
  <si>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</si>
  <si>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</si>
  <si>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</si>
  <si>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</si>
  <si>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</si>
  <si>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</si>
  <si>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</si>
  <si>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</si>
  <si>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</si>
  <si>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</si>
  <si>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</si>
  <si>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</si>
  <si>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</si>
  <si>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</si>
  <si>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</si>
  <si>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</si>
  <si>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</si>
  <si>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</si>
  <si>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</si>
  <si>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</si>
  <si>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</si>
  <si>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</si>
  <si>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</si>
  <si>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</si>
  <si>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</si>
  <si>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</si>
  <si>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</si>
  <si>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</si>
  <si>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</si>
  <si>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</si>
  <si>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</si>
  <si>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</si>
  <si>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</si>
  <si>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</si>
  <si>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</si>
  <si>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</si>
  <si>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</si>
  <si>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</si>
  <si>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</si>
  <si>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</si>
  <si>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</si>
  <si>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</si>
  <si>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</si>
  <si>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</si>
  <si>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</si>
  <si>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</si>
  <si>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</si>
  <si>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</si>
  <si>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</si>
  <si>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</si>
  <si>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</si>
  <si>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</si>
  <si>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</si>
  <si>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</si>
  <si>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</si>
  <si>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</si>
  <si>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</si>
  <si>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</si>
  <si>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</si>
  <si>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</si>
  <si>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</si>
  <si>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</si>
  <si>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</si>
  <si>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</si>
  <si>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</si>
  <si>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</si>
  <si>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</si>
  <si>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</si>
  <si>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</si>
  <si>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</si>
  <si>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</si>
  <si>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</si>
  <si>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</si>
  <si>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</si>
  <si>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</si>
  <si>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</si>
  <si>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</si>
  <si>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</si>
  <si>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</si>
  <si>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</si>
  <si>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</si>
  <si>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</si>
  <si>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</si>
  <si>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</si>
  <si>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</si>
  <si>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</si>
  <si>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</si>
  <si>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</si>
  <si>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</si>
  <si>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</si>
  <si>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</si>
  <si>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</si>
  <si>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</si>
  <si>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</si>
  <si>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</si>
  <si>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</si>
  <si>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</si>
  <si>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</si>
  <si>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</si>
  <si>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</si>
  <si>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</si>
  <si>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</si>
  <si>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</si>
  <si>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</si>
  <si>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</si>
  <si>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</si>
  <si>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</si>
  <si>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</si>
  <si>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</si>
  <si>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</si>
  <si>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</si>
  <si>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</si>
  <si>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</si>
  <si>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</si>
  <si>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</si>
  <si>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</si>
  <si>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</si>
  <si>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</si>
  <si>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</si>
  <si>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MBK/611979365577/16:50:38/Khalid Hussain First Ma</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</si>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</sst>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3"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s>
  <fills count="90">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0">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xf numFmtId="0" fontId="0" fillId="89" borderId="3" xfId="0" applyFill="1" applyBorder="1"/>
    <xf numFmtId="165" fontId="0" fillId="89" borderId="3" xfId="0" applyNumberFormat="1" applyFill="1" applyBorder="1"/>
    <xf numFmtId="0" fontId="0" fillId="89" borderId="3" xfId="0" applyFill="1" applyBorder="1" applyAlignment="1">
      <alignment wrapText="1"/>
    </xf>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3" t="s">
        <v>1</v>
      </c>
      <c r="G2" s="643"/>
      <c r="H2" s="643"/>
      <c r="I2" s="643"/>
      <c r="J2" s="644" t="s">
        <v>2</v>
      </c>
      <c r="K2" s="644"/>
      <c r="L2" s="644"/>
      <c r="M2" s="644"/>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24" activePane="bottomLeft" state="frozen"/>
      <selection pane="bottomLeft" activeCell="D24" sqref="D24"/>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3" t="s">
        <v>1</v>
      </c>
      <c r="G2" s="643"/>
      <c r="H2" s="643"/>
      <c r="I2" s="643"/>
      <c r="J2" s="644" t="s">
        <v>2</v>
      </c>
      <c r="K2" s="644"/>
      <c r="L2" s="644"/>
      <c r="M2" s="644"/>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6" activePane="bottomRight" state="frozen"/>
      <selection pane="topRight" activeCell="D1" sqref="D1"/>
      <selection pane="bottomLeft" activeCell="A6" sqref="A6"/>
      <selection pane="bottomRight" activeCell="C126" sqref="C126:D12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3" t="s">
        <v>1</v>
      </c>
      <c r="G2" s="643"/>
      <c r="H2" s="643"/>
      <c r="I2" s="643"/>
      <c r="J2" s="645" t="s">
        <v>803</v>
      </c>
      <c r="K2" s="646"/>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6" activePane="bottomRight" state="frozen"/>
      <selection pane="topRight" activeCell="K1" sqref="K1"/>
      <selection pane="bottomLeft" activeCell="A6" sqref="A6"/>
      <selection pane="bottomRight" activeCell="C100" sqref="C100:D100"/>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196"/>
  <sheetViews>
    <sheetView zoomScaleNormal="100" workbookViewId="0">
      <pane xSplit="6" ySplit="5" topLeftCell="G130" activePane="bottomRight" state="frozen"/>
      <selection pane="topRight" activeCell="G1" sqref="G1"/>
      <selection pane="bottomLeft" activeCell="A6" sqref="A6"/>
      <selection pane="bottomRight" activeCell="B186" sqref="B186"/>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1607</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1473</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1471</v>
      </c>
      <c r="O56" s="34" t="s">
        <v>8</v>
      </c>
      <c r="P56" s="34" t="s">
        <v>885</v>
      </c>
    </row>
    <row r="57" spans="1:16" ht="45" x14ac:dyDescent="0.25">
      <c r="A57" s="34"/>
      <c r="B57" s="35">
        <v>45921</v>
      </c>
      <c r="C57" s="36" t="s">
        <v>1617</v>
      </c>
      <c r="D57" s="108" t="s">
        <v>1618</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1472</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1477</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1417</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1418</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1419</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1422</v>
      </c>
      <c r="O104" s="34" t="s">
        <v>853</v>
      </c>
      <c r="P104" s="34" t="s">
        <v>1430</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1423</v>
      </c>
      <c r="O105" s="34" t="s">
        <v>853</v>
      </c>
      <c r="P105" s="34" t="s">
        <v>857</v>
      </c>
    </row>
    <row r="106" spans="1:16" x14ac:dyDescent="0.25">
      <c r="A106" s="409"/>
      <c r="B106" s="552">
        <v>46011</v>
      </c>
      <c r="C106" s="175" t="s">
        <v>1434</v>
      </c>
      <c r="D106" s="175"/>
      <c r="E106" s="36"/>
      <c r="F106" s="34"/>
      <c r="G106" s="37"/>
      <c r="H106" s="37"/>
      <c r="I106" s="547"/>
      <c r="J106" s="86"/>
      <c r="K106" s="391"/>
      <c r="L106" s="574">
        <v>1000</v>
      </c>
      <c r="M106" s="562">
        <f t="shared" si="4"/>
        <v>17198</v>
      </c>
      <c r="N106" s="576" t="s">
        <v>1424</v>
      </c>
      <c r="O106" s="34" t="s">
        <v>853</v>
      </c>
      <c r="P106" s="34" t="s">
        <v>857</v>
      </c>
    </row>
    <row r="107" spans="1:16" x14ac:dyDescent="0.25">
      <c r="A107" s="409"/>
      <c r="B107" s="552">
        <v>46011</v>
      </c>
      <c r="C107" s="175" t="s">
        <v>1434</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1434</v>
      </c>
      <c r="D108" s="175"/>
      <c r="E108" s="36"/>
      <c r="F108" s="34"/>
      <c r="G108" s="37"/>
      <c r="H108" s="37"/>
      <c r="I108" s="547"/>
      <c r="J108" s="86"/>
      <c r="K108" s="391"/>
      <c r="L108" s="574">
        <v>4017</v>
      </c>
      <c r="M108" s="562">
        <f t="shared" si="4"/>
        <v>12481</v>
      </c>
      <c r="N108" s="576" t="s">
        <v>1425</v>
      </c>
      <c r="O108" s="34" t="s">
        <v>1417</v>
      </c>
      <c r="P108" s="34" t="s">
        <v>857</v>
      </c>
    </row>
    <row r="109" spans="1:16" x14ac:dyDescent="0.25">
      <c r="A109" s="409"/>
      <c r="B109" s="552">
        <v>46011</v>
      </c>
      <c r="C109" s="175" t="s">
        <v>1434</v>
      </c>
      <c r="D109" s="175"/>
      <c r="E109" s="36"/>
      <c r="F109" s="34"/>
      <c r="G109" s="37"/>
      <c r="H109" s="37"/>
      <c r="I109" s="547"/>
      <c r="J109" s="86"/>
      <c r="K109" s="391"/>
      <c r="L109" s="574">
        <v>4500</v>
      </c>
      <c r="M109" s="562">
        <f t="shared" si="4"/>
        <v>7981</v>
      </c>
      <c r="N109" s="576" t="s">
        <v>1426</v>
      </c>
      <c r="O109" s="34" t="s">
        <v>853</v>
      </c>
      <c r="P109" s="34" t="s">
        <v>857</v>
      </c>
    </row>
    <row r="110" spans="1:16" x14ac:dyDescent="0.25">
      <c r="A110" s="409"/>
      <c r="B110" s="552">
        <v>46011</v>
      </c>
      <c r="C110" s="175" t="s">
        <v>1434</v>
      </c>
      <c r="D110" s="175"/>
      <c r="E110" s="36"/>
      <c r="F110" s="34"/>
      <c r="G110" s="37"/>
      <c r="H110" s="37"/>
      <c r="I110" s="547"/>
      <c r="J110" s="86"/>
      <c r="K110" s="391"/>
      <c r="L110" s="574">
        <v>2120</v>
      </c>
      <c r="M110" s="562">
        <f t="shared" si="4"/>
        <v>5861</v>
      </c>
      <c r="N110" s="576" t="s">
        <v>1427</v>
      </c>
      <c r="O110" s="34" t="s">
        <v>853</v>
      </c>
      <c r="P110" s="34" t="s">
        <v>857</v>
      </c>
    </row>
    <row r="111" spans="1:16" ht="30" x14ac:dyDescent="0.25">
      <c r="A111" s="566"/>
      <c r="B111" s="567"/>
      <c r="C111" s="568" t="s">
        <v>1428</v>
      </c>
      <c r="D111" s="568"/>
      <c r="E111" s="554"/>
      <c r="F111" s="252"/>
      <c r="G111" s="538"/>
      <c r="H111" s="538"/>
      <c r="I111" s="555"/>
      <c r="J111" s="555"/>
      <c r="K111" s="556"/>
      <c r="L111" s="565">
        <f>SUM(L105:L110)</f>
        <v>15012</v>
      </c>
      <c r="M111" s="562"/>
      <c r="N111" s="557" t="s">
        <v>1429</v>
      </c>
      <c r="O111" s="252"/>
      <c r="P111" s="252"/>
    </row>
    <row r="112" spans="1:16" x14ac:dyDescent="0.25">
      <c r="A112" s="409"/>
      <c r="B112" s="300">
        <v>46011</v>
      </c>
      <c r="C112" s="175" t="s">
        <v>1431</v>
      </c>
      <c r="D112" s="175"/>
      <c r="E112" s="36"/>
      <c r="F112" s="34"/>
      <c r="G112" s="37"/>
      <c r="H112" s="37"/>
      <c r="I112" s="547"/>
      <c r="J112" s="86"/>
      <c r="K112" s="391"/>
      <c r="L112" s="565">
        <v>2663</v>
      </c>
      <c r="M112" s="563">
        <f>5861-L112</f>
        <v>3198</v>
      </c>
      <c r="N112" s="576" t="s">
        <v>1432</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1433</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1420</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1421</v>
      </c>
      <c r="O115" s="34" t="s">
        <v>121</v>
      </c>
      <c r="P115" s="34" t="s">
        <v>857</v>
      </c>
    </row>
    <row r="116" spans="1:16" ht="60" x14ac:dyDescent="0.25">
      <c r="A116" s="409"/>
      <c r="B116" s="300">
        <v>46013</v>
      </c>
      <c r="C116" s="175" t="s">
        <v>1436</v>
      </c>
      <c r="D116" s="175"/>
      <c r="E116" s="36"/>
      <c r="F116" s="34"/>
      <c r="G116" s="37"/>
      <c r="H116" s="37"/>
      <c r="I116" s="547">
        <f t="shared" si="5"/>
        <v>106544.18999999989</v>
      </c>
      <c r="J116" s="86"/>
      <c r="K116" s="39">
        <v>6000</v>
      </c>
      <c r="L116" s="39"/>
      <c r="M116" s="579">
        <f>M114+J116-L116</f>
        <v>3198</v>
      </c>
      <c r="N116" s="181" t="s">
        <v>1435</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1446</v>
      </c>
      <c r="F118" s="34"/>
      <c r="G118" s="37">
        <v>2500</v>
      </c>
      <c r="H118" s="37"/>
      <c r="I118" s="547">
        <f t="shared" si="5"/>
        <v>109038.28999999989</v>
      </c>
      <c r="J118" s="86"/>
      <c r="K118" s="39"/>
      <c r="L118" s="39"/>
      <c r="M118" s="579">
        <f>M117+J118-L118</f>
        <v>3198</v>
      </c>
      <c r="N118" s="181" t="s">
        <v>1437</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1438</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1439</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1440</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1441</v>
      </c>
      <c r="O122" s="34" t="s">
        <v>8</v>
      </c>
      <c r="P122" s="34" t="s">
        <v>885</v>
      </c>
    </row>
    <row r="123" spans="1:16" ht="45" x14ac:dyDescent="0.25">
      <c r="A123" s="598"/>
      <c r="B123" s="300">
        <v>46017</v>
      </c>
      <c r="C123" s="578" t="s">
        <v>1375</v>
      </c>
      <c r="D123" s="599" t="s">
        <v>1474</v>
      </c>
      <c r="E123" s="36" t="s">
        <v>29</v>
      </c>
      <c r="F123" s="34"/>
      <c r="G123" s="40">
        <v>2500</v>
      </c>
      <c r="H123" s="37"/>
      <c r="I123" s="547">
        <f t="shared" si="5"/>
        <v>126032.3899999999</v>
      </c>
      <c r="J123" s="86"/>
      <c r="K123" s="39"/>
      <c r="L123" s="39"/>
      <c r="M123" s="579">
        <f t="shared" si="6"/>
        <v>3198</v>
      </c>
      <c r="N123" s="181" t="s">
        <v>1448</v>
      </c>
      <c r="O123" s="34" t="s">
        <v>853</v>
      </c>
      <c r="P123" s="34" t="s">
        <v>885</v>
      </c>
    </row>
    <row r="124" spans="1:16" ht="45" x14ac:dyDescent="0.25">
      <c r="A124" s="34"/>
      <c r="B124" s="35">
        <v>46021</v>
      </c>
      <c r="C124" s="36" t="s">
        <v>1443</v>
      </c>
      <c r="D124" s="36" t="s">
        <v>225</v>
      </c>
      <c r="E124" s="36" t="s">
        <v>988</v>
      </c>
      <c r="F124" s="34"/>
      <c r="G124" s="37">
        <v>2500</v>
      </c>
      <c r="H124" s="37"/>
      <c r="I124" s="547">
        <f t="shared" si="5"/>
        <v>128532.3899999999</v>
      </c>
      <c r="J124" s="86"/>
      <c r="K124" s="39"/>
      <c r="L124" s="39"/>
      <c r="M124" s="579">
        <f t="shared" si="6"/>
        <v>3198</v>
      </c>
      <c r="N124" s="181" t="s">
        <v>1444</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1445</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1447</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1442</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1449</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1450</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1476</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1475</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1478</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1526</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1527</v>
      </c>
      <c r="O134" s="34" t="s">
        <v>856</v>
      </c>
      <c r="P134" s="34" t="s">
        <v>885</v>
      </c>
    </row>
    <row r="135" spans="1:16" ht="30" x14ac:dyDescent="0.25">
      <c r="A135" s="438"/>
      <c r="B135" s="595">
        <v>46037</v>
      </c>
      <c r="C135" s="439" t="s">
        <v>1530</v>
      </c>
      <c r="D135" s="439" t="s">
        <v>37</v>
      </c>
      <c r="E135" s="36" t="s">
        <v>37</v>
      </c>
      <c r="F135" s="34"/>
      <c r="G135" s="37">
        <v>2500</v>
      </c>
      <c r="H135" s="37"/>
      <c r="I135" s="547">
        <f t="shared" si="5"/>
        <v>119922.21999999991</v>
      </c>
      <c r="J135" s="86"/>
      <c r="K135" s="39"/>
      <c r="L135" s="39"/>
      <c r="M135" s="606">
        <f t="shared" si="6"/>
        <v>3198</v>
      </c>
      <c r="N135" s="36" t="s">
        <v>1531</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1484</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1479</v>
      </c>
      <c r="O137" s="34" t="s">
        <v>121</v>
      </c>
      <c r="P137" s="34" t="s">
        <v>857</v>
      </c>
    </row>
    <row r="138" spans="1:16" ht="30" x14ac:dyDescent="0.25">
      <c r="A138" s="438"/>
      <c r="B138" s="595">
        <v>46039</v>
      </c>
      <c r="C138" s="439" t="s">
        <v>1481</v>
      </c>
      <c r="D138" s="36" t="s">
        <v>581</v>
      </c>
      <c r="E138" s="36" t="s">
        <v>23</v>
      </c>
      <c r="F138" s="34"/>
      <c r="G138" s="37">
        <v>2500</v>
      </c>
      <c r="H138" s="37"/>
      <c r="I138" s="547">
        <f t="shared" si="5"/>
        <v>122421.27999999991</v>
      </c>
      <c r="J138" s="86"/>
      <c r="K138" s="39"/>
      <c r="L138" s="39"/>
      <c r="M138" s="579">
        <f t="shared" si="6"/>
        <v>93198</v>
      </c>
      <c r="N138" s="36" t="s">
        <v>1480</v>
      </c>
      <c r="O138" s="34" t="s">
        <v>8</v>
      </c>
      <c r="P138" s="34" t="s">
        <v>885</v>
      </c>
    </row>
    <row r="139" spans="1:16" x14ac:dyDescent="0.25">
      <c r="A139" s="438"/>
      <c r="B139" s="595">
        <v>46041</v>
      </c>
      <c r="C139" s="439" t="s">
        <v>572</v>
      </c>
      <c r="D139" s="439" t="s">
        <v>1529</v>
      </c>
      <c r="E139" s="36" t="s">
        <v>37</v>
      </c>
      <c r="F139" s="34"/>
      <c r="G139" s="37">
        <v>7500</v>
      </c>
      <c r="H139" s="37"/>
      <c r="I139" s="547">
        <f t="shared" si="5"/>
        <v>129921.27999999991</v>
      </c>
      <c r="J139" s="86"/>
      <c r="K139" s="39"/>
      <c r="L139" s="39"/>
      <c r="M139" s="579">
        <f t="shared" si="6"/>
        <v>93198</v>
      </c>
      <c r="N139" s="36" t="s">
        <v>1482</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1528</v>
      </c>
      <c r="O140" s="34" t="s">
        <v>856</v>
      </c>
      <c r="P140" s="34" t="s">
        <v>885</v>
      </c>
    </row>
    <row r="141" spans="1:16" x14ac:dyDescent="0.25">
      <c r="A141" s="183"/>
      <c r="B141" s="301">
        <v>46042</v>
      </c>
      <c r="C141" s="149" t="s">
        <v>1488</v>
      </c>
      <c r="D141" s="149"/>
      <c r="E141" s="36"/>
      <c r="F141" s="34"/>
      <c r="G141" s="37"/>
      <c r="H141" s="37"/>
      <c r="I141" s="547">
        <f t="shared" si="5"/>
        <v>82921.279999999912</v>
      </c>
      <c r="J141" s="86"/>
      <c r="K141" s="39">
        <v>50000</v>
      </c>
      <c r="L141" s="39"/>
      <c r="M141" s="579">
        <f t="shared" si="6"/>
        <v>93198</v>
      </c>
      <c r="N141" s="36" t="s">
        <v>1483</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1485</v>
      </c>
      <c r="O143" s="34" t="s">
        <v>856</v>
      </c>
      <c r="P143" s="34" t="s">
        <v>857</v>
      </c>
    </row>
    <row r="144" spans="1:16" ht="60" x14ac:dyDescent="0.25">
      <c r="A144" s="183"/>
      <c r="B144" s="301">
        <v>46042</v>
      </c>
      <c r="C144" s="149" t="s">
        <v>1487</v>
      </c>
      <c r="D144" s="149" t="s">
        <v>225</v>
      </c>
      <c r="E144" s="36" t="s">
        <v>988</v>
      </c>
      <c r="F144" s="34"/>
      <c r="G144" s="37"/>
      <c r="H144" s="37"/>
      <c r="I144" s="547">
        <f t="shared" ref="I144:I173" si="7">I143+G144-K144</f>
        <v>52735.279999999912</v>
      </c>
      <c r="J144" s="86"/>
      <c r="K144" s="39">
        <v>30186</v>
      </c>
      <c r="L144" s="39"/>
      <c r="M144" s="579">
        <f t="shared" si="6"/>
        <v>3198</v>
      </c>
      <c r="N144" s="36" t="s">
        <v>1486</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1488</v>
      </c>
      <c r="D146" s="149" t="s">
        <v>37</v>
      </c>
      <c r="E146" s="36" t="s">
        <v>992</v>
      </c>
      <c r="F146" s="34"/>
      <c r="G146" s="37"/>
      <c r="H146" s="37"/>
      <c r="I146" s="547">
        <f t="shared" si="7"/>
        <v>12726.429999999913</v>
      </c>
      <c r="J146" s="86"/>
      <c r="K146" s="39">
        <v>40000</v>
      </c>
      <c r="L146" s="39"/>
      <c r="M146" s="579">
        <f t="shared" si="6"/>
        <v>3198</v>
      </c>
      <c r="N146" s="36" t="s">
        <v>1489</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1490</v>
      </c>
      <c r="O147" s="34" t="s">
        <v>121</v>
      </c>
      <c r="P147" s="34" t="s">
        <v>857</v>
      </c>
    </row>
    <row r="148" spans="1:16" ht="30" x14ac:dyDescent="0.25">
      <c r="A148" s="183"/>
      <c r="B148" s="301">
        <v>46044</v>
      </c>
      <c r="C148" s="149" t="s">
        <v>1491</v>
      </c>
      <c r="D148" s="149" t="s">
        <v>29</v>
      </c>
      <c r="E148" s="36" t="s">
        <v>29</v>
      </c>
      <c r="F148" s="34"/>
      <c r="G148" s="40">
        <v>10000</v>
      </c>
      <c r="H148" s="37"/>
      <c r="I148" s="547">
        <f t="shared" si="7"/>
        <v>22717.579999999914</v>
      </c>
      <c r="J148" s="86"/>
      <c r="K148" s="39"/>
      <c r="L148" s="39"/>
      <c r="M148" s="579">
        <f t="shared" si="6"/>
        <v>3198</v>
      </c>
      <c r="N148" s="36" t="s">
        <v>1492</v>
      </c>
      <c r="O148" s="34" t="s">
        <v>856</v>
      </c>
      <c r="P148" s="34" t="s">
        <v>885</v>
      </c>
    </row>
    <row r="149" spans="1:16" ht="30" x14ac:dyDescent="0.25">
      <c r="A149" s="183"/>
      <c r="B149" s="301">
        <v>46053</v>
      </c>
      <c r="C149" s="149" t="s">
        <v>1534</v>
      </c>
      <c r="D149" s="149" t="s">
        <v>37</v>
      </c>
      <c r="E149" s="36" t="s">
        <v>992</v>
      </c>
      <c r="F149" s="34"/>
      <c r="G149" s="40">
        <v>10000</v>
      </c>
      <c r="H149" s="37"/>
      <c r="I149" s="547">
        <f t="shared" si="7"/>
        <v>32717.579999999914</v>
      </c>
      <c r="J149" s="86"/>
      <c r="K149" s="39"/>
      <c r="L149" s="39"/>
      <c r="M149" s="579">
        <f t="shared" si="6"/>
        <v>3198</v>
      </c>
      <c r="N149" s="36" t="s">
        <v>1532</v>
      </c>
      <c r="O149" s="34" t="s">
        <v>856</v>
      </c>
      <c r="P149" s="34" t="s">
        <v>885</v>
      </c>
    </row>
    <row r="150" spans="1:16" ht="30" x14ac:dyDescent="0.25">
      <c r="A150" s="438"/>
      <c r="B150" s="595">
        <v>46053</v>
      </c>
      <c r="C150" s="439" t="s">
        <v>1534</v>
      </c>
      <c r="D150" s="439" t="s">
        <v>37</v>
      </c>
      <c r="E150" s="36" t="s">
        <v>992</v>
      </c>
      <c r="F150" s="34"/>
      <c r="G150" s="37">
        <v>2500</v>
      </c>
      <c r="H150" s="37"/>
      <c r="I150" s="547">
        <f t="shared" si="7"/>
        <v>35217.579999999914</v>
      </c>
      <c r="J150" s="86"/>
      <c r="K150" s="39"/>
      <c r="L150" s="39"/>
      <c r="M150" s="579">
        <f t="shared" si="6"/>
        <v>3198</v>
      </c>
      <c r="N150" s="36" t="s">
        <v>1533</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1535</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1536</v>
      </c>
      <c r="O152" s="34" t="s">
        <v>856</v>
      </c>
      <c r="P152" s="34" t="s">
        <v>885</v>
      </c>
    </row>
    <row r="153" spans="1:16" ht="30" x14ac:dyDescent="0.25">
      <c r="A153" s="379"/>
      <c r="B153" s="234">
        <v>46070</v>
      </c>
      <c r="C153" s="214" t="s">
        <v>1538</v>
      </c>
      <c r="D153" s="214"/>
      <c r="E153" s="36"/>
      <c r="F153" s="34"/>
      <c r="G153" s="37"/>
      <c r="H153" s="37"/>
      <c r="I153" s="547">
        <f t="shared" si="7"/>
        <v>38403.579999999914</v>
      </c>
      <c r="J153" s="86"/>
      <c r="K153" s="39">
        <v>2569</v>
      </c>
      <c r="L153" s="39"/>
      <c r="M153" s="579">
        <f t="shared" si="6"/>
        <v>3198</v>
      </c>
      <c r="N153" s="36" t="s">
        <v>1537</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1539</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1541</v>
      </c>
      <c r="O155" s="34" t="s">
        <v>121</v>
      </c>
      <c r="P155" s="34" t="s">
        <v>857</v>
      </c>
    </row>
    <row r="156" spans="1:16" ht="45" x14ac:dyDescent="0.25">
      <c r="A156" s="438"/>
      <c r="B156" s="595">
        <v>46082</v>
      </c>
      <c r="C156" s="439" t="s">
        <v>1542</v>
      </c>
      <c r="D156" s="439" t="s">
        <v>1046</v>
      </c>
      <c r="E156" s="36" t="s">
        <v>1043</v>
      </c>
      <c r="F156" s="34"/>
      <c r="G156" s="37">
        <v>2500</v>
      </c>
      <c r="H156" s="37"/>
      <c r="I156" s="547">
        <f t="shared" si="7"/>
        <v>40896.259999999915</v>
      </c>
      <c r="J156" s="86"/>
      <c r="K156" s="39"/>
      <c r="L156" s="39"/>
      <c r="M156" s="579">
        <f t="shared" si="6"/>
        <v>3198</v>
      </c>
      <c r="N156" s="36" t="s">
        <v>1546</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1543</v>
      </c>
      <c r="O157" s="34" t="s">
        <v>8</v>
      </c>
      <c r="P157" s="34" t="s">
        <v>885</v>
      </c>
    </row>
    <row r="158" spans="1:16" ht="30" x14ac:dyDescent="0.25">
      <c r="A158" s="610"/>
      <c r="B158" s="611">
        <v>46088</v>
      </c>
      <c r="C158" s="612" t="s">
        <v>1548</v>
      </c>
      <c r="D158" s="612" t="s">
        <v>37</v>
      </c>
      <c r="E158" s="36" t="s">
        <v>992</v>
      </c>
      <c r="F158" s="34"/>
      <c r="G158" s="37"/>
      <c r="H158" s="37"/>
      <c r="I158" s="547">
        <f t="shared" si="7"/>
        <v>43396.259999999915</v>
      </c>
      <c r="J158" s="86">
        <v>23900</v>
      </c>
      <c r="K158" s="39"/>
      <c r="L158" s="39"/>
      <c r="M158" s="579">
        <f t="shared" si="6"/>
        <v>27098</v>
      </c>
      <c r="N158" s="36" t="s">
        <v>1549</v>
      </c>
      <c r="O158" s="34"/>
      <c r="P158" s="34"/>
    </row>
    <row r="159" spans="1:16" ht="30" x14ac:dyDescent="0.25">
      <c r="A159" s="610"/>
      <c r="B159" s="611">
        <v>46094</v>
      </c>
      <c r="C159" s="612" t="s">
        <v>1544</v>
      </c>
      <c r="D159" s="612"/>
      <c r="E159" s="36"/>
      <c r="F159" s="34"/>
      <c r="G159" s="37"/>
      <c r="H159" s="37"/>
      <c r="I159" s="547">
        <f t="shared" si="7"/>
        <v>23396.259999999915</v>
      </c>
      <c r="J159" s="86"/>
      <c r="K159" s="39">
        <v>20000</v>
      </c>
      <c r="L159" s="39"/>
      <c r="M159" s="579">
        <f t="shared" si="6"/>
        <v>27098</v>
      </c>
      <c r="N159" s="36" t="s">
        <v>1547</v>
      </c>
      <c r="O159" s="34" t="s">
        <v>1545</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1563</v>
      </c>
      <c r="D161" s="612"/>
      <c r="E161" s="36"/>
      <c r="F161" s="34"/>
      <c r="G161" s="37"/>
      <c r="H161" s="37"/>
      <c r="I161" s="547">
        <f t="shared" si="7"/>
        <v>23396.259999999915</v>
      </c>
      <c r="J161" s="86"/>
      <c r="K161" s="39"/>
      <c r="L161" s="619">
        <v>28000</v>
      </c>
      <c r="M161" s="606">
        <f t="shared" si="6"/>
        <v>3198</v>
      </c>
      <c r="N161" s="411" t="s">
        <v>1573</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1550</v>
      </c>
      <c r="O162" s="34" t="s">
        <v>1545</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1562</v>
      </c>
      <c r="O163" s="34" t="s">
        <v>1545</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1564</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1596</v>
      </c>
      <c r="O165" s="34" t="s">
        <v>1545</v>
      </c>
      <c r="P165" s="34" t="s">
        <v>885</v>
      </c>
    </row>
    <row r="166" spans="1:16" ht="30" x14ac:dyDescent="0.25">
      <c r="A166" s="610"/>
      <c r="B166" s="611">
        <v>46111</v>
      </c>
      <c r="C166" s="612" t="s">
        <v>1574</v>
      </c>
      <c r="D166" s="612"/>
      <c r="E166" s="36"/>
      <c r="F166" s="34"/>
      <c r="G166" s="37"/>
      <c r="H166" s="37"/>
      <c r="I166" s="547">
        <f>I164+G166-K166</f>
        <v>19490.359999999913</v>
      </c>
      <c r="J166" s="86"/>
      <c r="K166" s="39"/>
      <c r="L166" s="39">
        <v>4100</v>
      </c>
      <c r="M166" s="579">
        <f t="shared" si="6"/>
        <v>0</v>
      </c>
      <c r="N166" s="36" t="s">
        <v>1577</v>
      </c>
      <c r="O166" s="34" t="s">
        <v>1545</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1584</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1585</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1586</v>
      </c>
      <c r="O169" s="34" t="s">
        <v>121</v>
      </c>
      <c r="P169" s="34" t="s">
        <v>857</v>
      </c>
    </row>
    <row r="170" spans="1:16" ht="30" x14ac:dyDescent="0.25">
      <c r="A170" s="438"/>
      <c r="B170" s="595">
        <v>46110</v>
      </c>
      <c r="C170" s="439" t="s">
        <v>1589</v>
      </c>
      <c r="D170" s="439" t="s">
        <v>1591</v>
      </c>
      <c r="E170" s="36" t="s">
        <v>1043</v>
      </c>
      <c r="F170" s="34"/>
      <c r="G170" s="636">
        <v>1500</v>
      </c>
      <c r="H170" s="37"/>
      <c r="I170" s="547">
        <f t="shared" si="7"/>
        <v>16559.219999999914</v>
      </c>
      <c r="J170" s="86"/>
      <c r="K170" s="39"/>
      <c r="L170" s="39"/>
      <c r="M170" s="579">
        <f t="shared" si="6"/>
        <v>0</v>
      </c>
      <c r="N170" s="637" t="s">
        <v>1587</v>
      </c>
      <c r="O170" s="34" t="s">
        <v>8</v>
      </c>
      <c r="P170" s="34" t="s">
        <v>885</v>
      </c>
    </row>
    <row r="171" spans="1:16" ht="30" x14ac:dyDescent="0.25">
      <c r="A171" s="438"/>
      <c r="B171" s="595">
        <v>46110</v>
      </c>
      <c r="C171" s="439" t="s">
        <v>1590</v>
      </c>
      <c r="D171" s="439" t="s">
        <v>1591</v>
      </c>
      <c r="E171" s="36" t="s">
        <v>1043</v>
      </c>
      <c r="F171" s="34"/>
      <c r="G171" s="636">
        <v>1500</v>
      </c>
      <c r="H171" s="37"/>
      <c r="I171" s="547">
        <f t="shared" si="7"/>
        <v>18059.219999999914</v>
      </c>
      <c r="J171" s="86"/>
      <c r="K171" s="39"/>
      <c r="L171" s="39"/>
      <c r="M171" s="579">
        <f t="shared" si="6"/>
        <v>0</v>
      </c>
      <c r="N171" s="637" t="s">
        <v>1588</v>
      </c>
      <c r="O171" s="34" t="s">
        <v>8</v>
      </c>
      <c r="P171" s="34" t="s">
        <v>885</v>
      </c>
    </row>
    <row r="172" spans="1:16" ht="45" x14ac:dyDescent="0.25">
      <c r="A172" s="633"/>
      <c r="B172" s="634">
        <v>46111</v>
      </c>
      <c r="C172" s="635" t="s">
        <v>1544</v>
      </c>
      <c r="D172" s="635"/>
      <c r="E172" s="36"/>
      <c r="F172" s="34"/>
      <c r="G172" s="547">
        <v>19668</v>
      </c>
      <c r="H172" s="37"/>
      <c r="I172" s="547">
        <f t="shared" si="7"/>
        <v>37727.219999999914</v>
      </c>
      <c r="J172" s="86"/>
      <c r="K172" s="39"/>
      <c r="L172" s="39"/>
      <c r="M172" s="579">
        <f t="shared" si="6"/>
        <v>0</v>
      </c>
      <c r="N172" s="36" t="s">
        <v>1592</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1593</v>
      </c>
      <c r="O173" s="34" t="s">
        <v>8</v>
      </c>
      <c r="P173" s="34" t="s">
        <v>885</v>
      </c>
    </row>
    <row r="174" spans="1:16" x14ac:dyDescent="0.25">
      <c r="A174" s="438"/>
      <c r="B174" s="595"/>
      <c r="C174" s="439"/>
      <c r="D174" s="439"/>
      <c r="E174" s="36"/>
      <c r="F174" s="34"/>
      <c r="G174" s="37"/>
      <c r="H174" s="37"/>
      <c r="I174" s="639" t="s">
        <v>1594</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1595</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1643</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1470</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1545</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1469</v>
      </c>
      <c r="B1" s="92"/>
      <c r="C1" s="92"/>
      <c r="D1" s="92"/>
      <c r="E1" s="92"/>
      <c r="F1" s="92"/>
      <c r="G1" s="92"/>
      <c r="H1" s="92"/>
    </row>
    <row r="2" spans="1:9" ht="15.75" thickBot="1" x14ac:dyDescent="0.3">
      <c r="A2" s="582" t="s">
        <v>3</v>
      </c>
      <c r="B2" s="647" t="s">
        <v>1451</v>
      </c>
      <c r="C2" s="648"/>
      <c r="D2" s="650" t="s">
        <v>1453</v>
      </c>
      <c r="E2" s="651"/>
      <c r="F2" s="649" t="s">
        <v>1455</v>
      </c>
      <c r="G2" s="649"/>
      <c r="H2" s="582" t="s">
        <v>1124</v>
      </c>
    </row>
    <row r="3" spans="1:9" ht="15.75" thickBot="1" x14ac:dyDescent="0.3">
      <c r="A3" s="582"/>
      <c r="B3" s="583" t="s">
        <v>1180</v>
      </c>
      <c r="C3" s="583" t="s">
        <v>1179</v>
      </c>
      <c r="D3" s="584" t="s">
        <v>1180</v>
      </c>
      <c r="E3" s="584" t="s">
        <v>1179</v>
      </c>
      <c r="F3" s="585" t="s">
        <v>1452</v>
      </c>
      <c r="G3" s="585" t="s">
        <v>1179</v>
      </c>
      <c r="H3" s="582"/>
    </row>
    <row r="4" spans="1:9" x14ac:dyDescent="0.25">
      <c r="A4" s="92">
        <f>ROW()-3</f>
        <v>1</v>
      </c>
      <c r="B4" s="92"/>
      <c r="C4" s="92"/>
      <c r="D4" s="92"/>
      <c r="E4" s="92"/>
      <c r="F4" s="581">
        <v>10000</v>
      </c>
      <c r="G4" s="92"/>
      <c r="H4" s="92" t="s">
        <v>1454</v>
      </c>
    </row>
    <row r="5" spans="1:9" x14ac:dyDescent="0.25">
      <c r="A5" s="92">
        <f t="shared" ref="A5:A20" si="0">ROW()-3</f>
        <v>2</v>
      </c>
      <c r="B5" s="92"/>
      <c r="C5" s="92"/>
      <c r="D5" s="92"/>
      <c r="E5" s="92"/>
      <c r="F5" s="93"/>
      <c r="G5" s="40">
        <v>5000</v>
      </c>
      <c r="H5" s="175" t="s">
        <v>1456</v>
      </c>
    </row>
    <row r="6" spans="1:9" x14ac:dyDescent="0.25">
      <c r="A6" s="92">
        <f t="shared" si="0"/>
        <v>3</v>
      </c>
      <c r="B6" s="92"/>
      <c r="C6" s="92"/>
      <c r="D6" s="92"/>
      <c r="E6" s="92"/>
      <c r="F6" s="93"/>
      <c r="G6" s="40">
        <v>4000</v>
      </c>
      <c r="H6" s="175" t="s">
        <v>1457</v>
      </c>
    </row>
    <row r="7" spans="1:9" x14ac:dyDescent="0.25">
      <c r="A7" s="92">
        <f t="shared" si="0"/>
        <v>4</v>
      </c>
      <c r="B7" s="92"/>
      <c r="C7" s="92"/>
      <c r="D7" s="92"/>
      <c r="E7" s="92"/>
      <c r="F7" s="93"/>
      <c r="G7" s="40">
        <v>5000</v>
      </c>
      <c r="H7" s="175" t="s">
        <v>1458</v>
      </c>
    </row>
    <row r="8" spans="1:9" ht="15.75" thickBot="1" x14ac:dyDescent="0.3">
      <c r="A8" s="92">
        <f t="shared" si="0"/>
        <v>5</v>
      </c>
      <c r="B8" s="92"/>
      <c r="C8" s="92"/>
      <c r="D8" s="92"/>
      <c r="E8" s="92"/>
      <c r="F8" s="93"/>
      <c r="G8" s="40">
        <v>10000</v>
      </c>
      <c r="H8" s="175" t="s">
        <v>1459</v>
      </c>
    </row>
    <row r="9" spans="1:9" ht="15.75" thickBot="1" x14ac:dyDescent="0.3">
      <c r="A9" s="92">
        <f t="shared" si="0"/>
        <v>6</v>
      </c>
      <c r="B9" s="572">
        <f>15000+2675</f>
        <v>17675</v>
      </c>
      <c r="C9" s="92"/>
      <c r="D9" s="92"/>
      <c r="E9" s="573">
        <f>15000+2675</f>
        <v>17675</v>
      </c>
      <c r="F9" s="93"/>
      <c r="G9" s="92"/>
      <c r="H9" s="92" t="s">
        <v>1460</v>
      </c>
    </row>
    <row r="10" spans="1:9" ht="30" x14ac:dyDescent="0.25">
      <c r="A10" s="92">
        <f t="shared" si="0"/>
        <v>7</v>
      </c>
      <c r="B10" s="92"/>
      <c r="C10" s="92"/>
      <c r="D10" s="573">
        <v>2675</v>
      </c>
      <c r="E10" s="92"/>
      <c r="F10" s="93"/>
      <c r="G10" s="92"/>
      <c r="H10" s="576" t="s">
        <v>1423</v>
      </c>
      <c r="I10" s="652" t="s">
        <v>1572</v>
      </c>
    </row>
    <row r="11" spans="1:9" x14ac:dyDescent="0.25">
      <c r="A11" s="92">
        <f t="shared" si="0"/>
        <v>8</v>
      </c>
      <c r="B11" s="92"/>
      <c r="C11" s="92"/>
      <c r="D11" s="574">
        <v>1000</v>
      </c>
      <c r="E11" s="92"/>
      <c r="F11" s="93"/>
      <c r="G11" s="92"/>
      <c r="H11" s="576" t="s">
        <v>1424</v>
      </c>
      <c r="I11" s="653"/>
    </row>
    <row r="12" spans="1:9" x14ac:dyDescent="0.25">
      <c r="A12" s="92">
        <f t="shared" si="0"/>
        <v>9</v>
      </c>
      <c r="B12" s="92"/>
      <c r="C12" s="92"/>
      <c r="D12" s="574">
        <v>700</v>
      </c>
      <c r="E12" s="92"/>
      <c r="F12" s="93"/>
      <c r="G12" s="92"/>
      <c r="H12" s="576" t="s">
        <v>411</v>
      </c>
      <c r="I12" s="653"/>
    </row>
    <row r="13" spans="1:9" x14ac:dyDescent="0.25">
      <c r="A13" s="92">
        <f t="shared" si="0"/>
        <v>10</v>
      </c>
      <c r="B13" s="92"/>
      <c r="C13" s="92"/>
      <c r="D13" s="574">
        <v>4017</v>
      </c>
      <c r="E13" s="92"/>
      <c r="F13" s="93"/>
      <c r="G13" s="92"/>
      <c r="H13" s="576" t="s">
        <v>1425</v>
      </c>
      <c r="I13" s="653"/>
    </row>
    <row r="14" spans="1:9" x14ac:dyDescent="0.25">
      <c r="A14" s="92">
        <f t="shared" si="0"/>
        <v>11</v>
      </c>
      <c r="B14" s="92"/>
      <c r="C14" s="92"/>
      <c r="D14" s="574">
        <v>4500</v>
      </c>
      <c r="E14" s="92"/>
      <c r="F14" s="93"/>
      <c r="G14" s="92"/>
      <c r="H14" s="576" t="s">
        <v>1426</v>
      </c>
      <c r="I14" s="653"/>
    </row>
    <row r="15" spans="1:9" ht="15.75" thickBot="1" x14ac:dyDescent="0.3">
      <c r="A15" s="92">
        <f t="shared" si="0"/>
        <v>12</v>
      </c>
      <c r="B15" s="92"/>
      <c r="C15" s="92"/>
      <c r="D15" s="574">
        <v>2120</v>
      </c>
      <c r="E15" s="92"/>
      <c r="F15" s="93"/>
      <c r="G15" s="92"/>
      <c r="H15" s="576" t="s">
        <v>1427</v>
      </c>
      <c r="I15" s="654"/>
    </row>
    <row r="16" spans="1:9" ht="15.75" thickBot="1" x14ac:dyDescent="0.3">
      <c r="A16" s="92">
        <f t="shared" si="0"/>
        <v>13</v>
      </c>
      <c r="B16" s="92"/>
      <c r="C16" s="572">
        <v>2663</v>
      </c>
      <c r="D16" s="574">
        <v>2663</v>
      </c>
      <c r="E16" s="92"/>
      <c r="F16" s="93"/>
      <c r="G16" s="92"/>
      <c r="H16" s="93" t="s">
        <v>1461</v>
      </c>
    </row>
    <row r="17" spans="1:8" x14ac:dyDescent="0.25">
      <c r="A17" s="92">
        <f t="shared" si="0"/>
        <v>14</v>
      </c>
      <c r="B17" s="92"/>
      <c r="C17" s="92"/>
      <c r="D17" s="92"/>
      <c r="E17" s="92"/>
      <c r="F17" s="581">
        <v>50633</v>
      </c>
      <c r="G17" s="92"/>
      <c r="H17" s="92" t="s">
        <v>1462</v>
      </c>
    </row>
    <row r="18" spans="1:8" x14ac:dyDescent="0.25">
      <c r="A18" s="92">
        <f t="shared" si="0"/>
        <v>15</v>
      </c>
      <c r="B18" s="92"/>
      <c r="C18" s="92"/>
      <c r="D18" s="92"/>
      <c r="E18" s="92"/>
      <c r="F18" s="581">
        <v>6000</v>
      </c>
      <c r="G18" s="92"/>
      <c r="H18" s="92" t="s">
        <v>1463</v>
      </c>
    </row>
    <row r="19" spans="1:8" ht="15.75" thickBot="1" x14ac:dyDescent="0.3">
      <c r="A19" s="92">
        <f t="shared" si="0"/>
        <v>16</v>
      </c>
      <c r="B19" s="92"/>
      <c r="C19" s="92"/>
      <c r="D19" s="92"/>
      <c r="E19" s="92"/>
      <c r="F19" s="93"/>
      <c r="G19" s="40">
        <v>2500</v>
      </c>
      <c r="H19" s="92" t="s">
        <v>1464</v>
      </c>
    </row>
    <row r="20" spans="1:8" ht="15.75" thickBot="1" x14ac:dyDescent="0.3">
      <c r="A20" s="92">
        <f t="shared" si="0"/>
        <v>17</v>
      </c>
      <c r="B20" s="92"/>
      <c r="C20" s="572">
        <v>15012</v>
      </c>
      <c r="D20" s="92"/>
      <c r="E20" s="92"/>
      <c r="F20" s="581">
        <v>15012</v>
      </c>
      <c r="G20" s="92"/>
      <c r="H20" s="92" t="s">
        <v>1465</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1466</v>
      </c>
      <c r="G25" s="592" t="s">
        <v>1467</v>
      </c>
      <c r="H25" s="593" t="s">
        <v>1468</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1493</v>
      </c>
      <c r="B1" s="92"/>
      <c r="C1" s="92"/>
      <c r="D1" s="92"/>
      <c r="E1" s="92"/>
      <c r="F1" s="92"/>
      <c r="G1" s="92"/>
      <c r="H1" s="92"/>
      <c r="I1" s="92"/>
      <c r="J1" s="92"/>
    </row>
    <row r="2" spans="1:11" ht="15.75" thickBot="1" x14ac:dyDescent="0.3">
      <c r="A2" s="582" t="s">
        <v>3</v>
      </c>
      <c r="B2" s="647" t="s">
        <v>1451</v>
      </c>
      <c r="C2" s="648"/>
      <c r="D2" s="647" t="s">
        <v>1525</v>
      </c>
      <c r="E2" s="648"/>
      <c r="F2" s="650" t="s">
        <v>1453</v>
      </c>
      <c r="G2" s="651"/>
      <c r="H2" s="649" t="s">
        <v>1455</v>
      </c>
      <c r="I2" s="649"/>
      <c r="J2" s="582" t="s">
        <v>1124</v>
      </c>
    </row>
    <row r="3" spans="1:11" x14ac:dyDescent="0.25">
      <c r="A3" s="603"/>
      <c r="B3" s="602" t="s">
        <v>1180</v>
      </c>
      <c r="C3" s="602" t="s">
        <v>1179</v>
      </c>
      <c r="D3" s="602" t="s">
        <v>1180</v>
      </c>
      <c r="E3" s="602" t="s">
        <v>1179</v>
      </c>
      <c r="F3" s="604" t="s">
        <v>1180</v>
      </c>
      <c r="G3" s="604" t="s">
        <v>1179</v>
      </c>
      <c r="H3" s="605" t="s">
        <v>1452</v>
      </c>
      <c r="I3" s="605" t="s">
        <v>1179</v>
      </c>
      <c r="J3" s="603"/>
    </row>
    <row r="4" spans="1:11" x14ac:dyDescent="0.25">
      <c r="A4" s="92">
        <f>ROW()-3</f>
        <v>1</v>
      </c>
      <c r="B4" s="93">
        <v>90000</v>
      </c>
      <c r="C4" s="93"/>
      <c r="D4" s="93"/>
      <c r="E4" s="93"/>
      <c r="F4" s="93"/>
      <c r="G4" s="93">
        <v>90000</v>
      </c>
      <c r="H4" s="310"/>
      <c r="I4" s="93"/>
      <c r="J4" s="92" t="s">
        <v>1494</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1495</v>
      </c>
      <c r="K6" s="655" t="s">
        <v>1571</v>
      </c>
    </row>
    <row r="7" spans="1:11" x14ac:dyDescent="0.25">
      <c r="A7" s="92"/>
      <c r="B7" s="93"/>
      <c r="C7" s="93"/>
      <c r="D7" s="93"/>
      <c r="E7" s="93"/>
      <c r="F7" s="607">
        <v>3250</v>
      </c>
      <c r="G7" s="93"/>
      <c r="H7" s="92"/>
      <c r="I7" s="92"/>
      <c r="J7" s="263" t="s">
        <v>1496</v>
      </c>
      <c r="K7" s="656"/>
    </row>
    <row r="8" spans="1:11" x14ac:dyDescent="0.25">
      <c r="A8" s="92"/>
      <c r="B8" s="93"/>
      <c r="C8" s="93"/>
      <c r="D8" s="93"/>
      <c r="E8" s="93"/>
      <c r="F8" s="607">
        <v>1050</v>
      </c>
      <c r="G8" s="93"/>
      <c r="H8" s="92"/>
      <c r="I8" s="92"/>
      <c r="J8" s="263" t="s">
        <v>1497</v>
      </c>
      <c r="K8" s="656"/>
    </row>
    <row r="9" spans="1:11" x14ac:dyDescent="0.25">
      <c r="A9" s="92"/>
      <c r="B9" s="93"/>
      <c r="C9" s="93"/>
      <c r="D9" s="93"/>
      <c r="E9" s="93"/>
      <c r="F9" s="607">
        <v>100</v>
      </c>
      <c r="G9" s="93"/>
      <c r="H9" s="92"/>
      <c r="I9" s="92"/>
      <c r="J9" s="263" t="s">
        <v>1498</v>
      </c>
      <c r="K9" s="656"/>
    </row>
    <row r="10" spans="1:11" x14ac:dyDescent="0.25">
      <c r="A10" s="92"/>
      <c r="B10" s="93"/>
      <c r="C10" s="93"/>
      <c r="D10" s="93"/>
      <c r="E10" s="93"/>
      <c r="F10" s="607">
        <v>1800</v>
      </c>
      <c r="G10" s="93"/>
      <c r="H10" s="92"/>
      <c r="I10" s="92"/>
      <c r="J10" s="263" t="s">
        <v>1499</v>
      </c>
      <c r="K10" s="656"/>
    </row>
    <row r="11" spans="1:11" x14ac:dyDescent="0.25">
      <c r="A11" s="92"/>
      <c r="B11" s="93"/>
      <c r="C11" s="93"/>
      <c r="D11" s="93"/>
      <c r="E11" s="93"/>
      <c r="F11" s="607">
        <v>1800</v>
      </c>
      <c r="G11" s="93"/>
      <c r="H11" s="92"/>
      <c r="I11" s="92"/>
      <c r="J11" s="263" t="s">
        <v>1500</v>
      </c>
      <c r="K11" s="656"/>
    </row>
    <row r="12" spans="1:11" x14ac:dyDescent="0.25">
      <c r="A12" s="92"/>
      <c r="B12" s="93"/>
      <c r="C12" s="93"/>
      <c r="D12" s="93"/>
      <c r="E12" s="93"/>
      <c r="F12" s="607">
        <v>200</v>
      </c>
      <c r="G12" s="93"/>
      <c r="H12" s="92"/>
      <c r="I12" s="92"/>
      <c r="J12" s="263" t="s">
        <v>1501</v>
      </c>
      <c r="K12" s="656"/>
    </row>
    <row r="13" spans="1:11" x14ac:dyDescent="0.25">
      <c r="A13" s="92"/>
      <c r="B13" s="93"/>
      <c r="C13" s="93"/>
      <c r="D13" s="93"/>
      <c r="E13" s="93"/>
      <c r="F13" s="607">
        <v>450</v>
      </c>
      <c r="G13" s="93"/>
      <c r="H13" s="92"/>
      <c r="I13" s="92"/>
      <c r="J13" s="263" t="s">
        <v>1502</v>
      </c>
      <c r="K13" s="656"/>
    </row>
    <row r="14" spans="1:11" x14ac:dyDescent="0.25">
      <c r="A14" s="92"/>
      <c r="B14" s="93"/>
      <c r="C14" s="93"/>
      <c r="D14" s="93"/>
      <c r="E14" s="93"/>
      <c r="F14" s="607">
        <v>300</v>
      </c>
      <c r="G14" s="93"/>
      <c r="H14" s="92"/>
      <c r="I14" s="92"/>
      <c r="J14" s="263" t="s">
        <v>1503</v>
      </c>
      <c r="K14" s="656"/>
    </row>
    <row r="15" spans="1:11" x14ac:dyDescent="0.25">
      <c r="A15" s="92"/>
      <c r="B15" s="93"/>
      <c r="C15" s="93"/>
      <c r="D15" s="93"/>
      <c r="E15" s="93"/>
      <c r="F15" s="607">
        <v>20</v>
      </c>
      <c r="G15" s="93"/>
      <c r="H15" s="92"/>
      <c r="I15" s="92"/>
      <c r="J15" s="263" t="s">
        <v>1504</v>
      </c>
      <c r="K15" s="656"/>
    </row>
    <row r="16" spans="1:11" x14ac:dyDescent="0.25">
      <c r="A16" s="92"/>
      <c r="B16" s="93"/>
      <c r="C16" s="93"/>
      <c r="D16" s="93"/>
      <c r="E16" s="93"/>
      <c r="F16" s="607">
        <v>20</v>
      </c>
      <c r="G16" s="93"/>
      <c r="H16" s="92"/>
      <c r="I16" s="92"/>
      <c r="J16" s="263" t="s">
        <v>1505</v>
      </c>
      <c r="K16" s="656"/>
    </row>
    <row r="17" spans="1:11" x14ac:dyDescent="0.25">
      <c r="A17" s="92"/>
      <c r="B17" s="93"/>
      <c r="C17" s="93"/>
      <c r="D17" s="93"/>
      <c r="E17" s="93"/>
      <c r="F17" s="607">
        <v>50</v>
      </c>
      <c r="G17" s="93"/>
      <c r="H17" s="92"/>
      <c r="I17" s="92"/>
      <c r="J17" s="263" t="s">
        <v>1506</v>
      </c>
      <c r="K17" s="656"/>
    </row>
    <row r="18" spans="1:11" x14ac:dyDescent="0.25">
      <c r="A18" s="92"/>
      <c r="B18" s="93"/>
      <c r="C18" s="93"/>
      <c r="D18" s="93"/>
      <c r="E18" s="93"/>
      <c r="F18" s="607">
        <v>80</v>
      </c>
      <c r="G18" s="93"/>
      <c r="H18" s="92"/>
      <c r="I18" s="92"/>
      <c r="J18" s="263" t="s">
        <v>1194</v>
      </c>
      <c r="K18" s="656"/>
    </row>
    <row r="19" spans="1:11" x14ac:dyDescent="0.25">
      <c r="A19" s="92"/>
      <c r="B19" s="93"/>
      <c r="C19" s="93"/>
      <c r="D19" s="93"/>
      <c r="E19" s="93"/>
      <c r="F19" s="607">
        <v>600</v>
      </c>
      <c r="G19" s="93"/>
      <c r="H19" s="92"/>
      <c r="I19" s="92"/>
      <c r="J19" s="263" t="s">
        <v>1507</v>
      </c>
      <c r="K19" s="656"/>
    </row>
    <row r="20" spans="1:11" x14ac:dyDescent="0.25">
      <c r="A20" s="92"/>
      <c r="B20" s="93"/>
      <c r="C20" s="93"/>
      <c r="D20" s="93"/>
      <c r="E20" s="93"/>
      <c r="F20" s="607">
        <v>2000</v>
      </c>
      <c r="G20" s="93"/>
      <c r="H20" s="92"/>
      <c r="I20" s="92"/>
      <c r="J20" s="263" t="s">
        <v>1508</v>
      </c>
      <c r="K20" s="656"/>
    </row>
    <row r="21" spans="1:11" x14ac:dyDescent="0.25">
      <c r="A21" s="92"/>
      <c r="B21" s="93"/>
      <c r="C21" s="93"/>
      <c r="D21" s="93"/>
      <c r="E21" s="93"/>
      <c r="F21" s="607">
        <v>20000</v>
      </c>
      <c r="G21" s="93"/>
      <c r="H21" s="92"/>
      <c r="I21" s="92"/>
      <c r="J21" s="263" t="s">
        <v>1509</v>
      </c>
      <c r="K21" s="656"/>
    </row>
    <row r="22" spans="1:11" x14ac:dyDescent="0.25">
      <c r="A22" s="92"/>
      <c r="B22" s="93"/>
      <c r="C22" s="93"/>
      <c r="D22" s="93"/>
      <c r="E22" s="93"/>
      <c r="F22" s="607">
        <v>20000</v>
      </c>
      <c r="G22" s="93"/>
      <c r="H22" s="92"/>
      <c r="I22" s="92"/>
      <c r="J22" s="263" t="s">
        <v>1510</v>
      </c>
      <c r="K22" s="656"/>
    </row>
    <row r="23" spans="1:11" x14ac:dyDescent="0.25">
      <c r="A23" s="92"/>
      <c r="B23" s="93"/>
      <c r="C23" s="93"/>
      <c r="D23" s="93"/>
      <c r="E23" s="93"/>
      <c r="F23" s="607">
        <v>200</v>
      </c>
      <c r="G23" s="93"/>
      <c r="H23" s="92"/>
      <c r="I23" s="92"/>
      <c r="J23" s="263" t="s">
        <v>1511</v>
      </c>
      <c r="K23" s="656"/>
    </row>
    <row r="24" spans="1:11" x14ac:dyDescent="0.25">
      <c r="A24" s="92"/>
      <c r="B24" s="93"/>
      <c r="C24" s="93"/>
      <c r="D24" s="93"/>
      <c r="E24" s="93"/>
      <c r="F24" s="607">
        <v>700</v>
      </c>
      <c r="G24" s="93"/>
      <c r="H24" s="92"/>
      <c r="I24" s="92"/>
      <c r="J24" s="263" t="s">
        <v>1512</v>
      </c>
      <c r="K24" s="656"/>
    </row>
    <row r="25" spans="1:11" x14ac:dyDescent="0.25">
      <c r="A25" s="92"/>
      <c r="B25" s="93"/>
      <c r="C25" s="93"/>
      <c r="D25" s="93"/>
      <c r="E25" s="93"/>
      <c r="F25" s="607">
        <v>300</v>
      </c>
      <c r="G25" s="93"/>
      <c r="H25" s="92"/>
      <c r="I25" s="92"/>
      <c r="J25" s="263" t="s">
        <v>1513</v>
      </c>
      <c r="K25" s="656"/>
    </row>
    <row r="26" spans="1:11" x14ac:dyDescent="0.25">
      <c r="A26" s="92"/>
      <c r="B26" s="93"/>
      <c r="C26" s="93"/>
      <c r="D26" s="93"/>
      <c r="E26" s="93"/>
      <c r="F26" s="607">
        <v>1000</v>
      </c>
      <c r="G26" s="93"/>
      <c r="H26" s="92"/>
      <c r="I26" s="92"/>
      <c r="J26" s="263" t="s">
        <v>1515</v>
      </c>
      <c r="K26" s="656"/>
    </row>
    <row r="27" spans="1:11" x14ac:dyDescent="0.25">
      <c r="A27" s="92"/>
      <c r="B27" s="93"/>
      <c r="C27" s="93"/>
      <c r="D27" s="93"/>
      <c r="E27" s="93"/>
      <c r="F27" s="607">
        <v>13000</v>
      </c>
      <c r="G27" s="93"/>
      <c r="H27" s="92"/>
      <c r="I27" s="92"/>
      <c r="J27" s="263" t="s">
        <v>1514</v>
      </c>
      <c r="K27" s="656"/>
    </row>
    <row r="28" spans="1:11" x14ac:dyDescent="0.25">
      <c r="A28" s="92"/>
      <c r="B28" s="93"/>
      <c r="C28" s="93"/>
      <c r="D28" s="93"/>
      <c r="E28" s="93"/>
      <c r="F28" s="607">
        <v>20500</v>
      </c>
      <c r="G28" s="93"/>
      <c r="H28" s="92"/>
      <c r="I28" s="92"/>
      <c r="J28" s="263" t="s">
        <v>1516</v>
      </c>
      <c r="K28" s="656"/>
    </row>
    <row r="29" spans="1:11" x14ac:dyDescent="0.25">
      <c r="A29" s="92"/>
      <c r="B29" s="93"/>
      <c r="C29" s="93"/>
      <c r="D29" s="93"/>
      <c r="E29" s="93"/>
      <c r="F29" s="607">
        <v>3500</v>
      </c>
      <c r="G29" s="93"/>
      <c r="H29" s="92"/>
      <c r="I29" s="92"/>
      <c r="J29" s="263" t="s">
        <v>1517</v>
      </c>
      <c r="K29" s="656"/>
    </row>
    <row r="30" spans="1:11" x14ac:dyDescent="0.25">
      <c r="A30" s="92"/>
      <c r="B30" s="93"/>
      <c r="C30" s="93"/>
      <c r="D30" s="93"/>
      <c r="E30" s="93"/>
      <c r="F30" s="607">
        <v>2200</v>
      </c>
      <c r="G30" s="93"/>
      <c r="H30" s="92"/>
      <c r="I30" s="92"/>
      <c r="J30" s="263" t="s">
        <v>1518</v>
      </c>
      <c r="K30" s="656"/>
    </row>
    <row r="31" spans="1:11" x14ac:dyDescent="0.25">
      <c r="A31" s="92"/>
      <c r="B31" s="93"/>
      <c r="C31" s="93"/>
      <c r="D31" s="93"/>
      <c r="E31" s="93"/>
      <c r="F31" s="607">
        <v>500</v>
      </c>
      <c r="G31" s="93"/>
      <c r="H31" s="92"/>
      <c r="I31" s="92"/>
      <c r="J31" s="263" t="s">
        <v>1519</v>
      </c>
      <c r="K31" s="656"/>
    </row>
    <row r="32" spans="1:11" x14ac:dyDescent="0.25">
      <c r="A32" s="92"/>
      <c r="B32" s="93"/>
      <c r="C32" s="93"/>
      <c r="D32" s="93"/>
      <c r="E32" s="93"/>
      <c r="F32" s="607">
        <v>900</v>
      </c>
      <c r="G32" s="93"/>
      <c r="H32" s="92"/>
      <c r="I32" s="92"/>
      <c r="J32" s="263" t="s">
        <v>1520</v>
      </c>
      <c r="K32" s="656"/>
    </row>
    <row r="33" spans="1:11" x14ac:dyDescent="0.25">
      <c r="A33" s="92"/>
      <c r="B33" s="93"/>
      <c r="C33" s="93"/>
      <c r="D33" s="93"/>
      <c r="E33" s="93"/>
      <c r="F33" s="607">
        <v>7000</v>
      </c>
      <c r="G33" s="93"/>
      <c r="H33" s="92"/>
      <c r="I33" s="92"/>
      <c r="J33" s="263" t="s">
        <v>1521</v>
      </c>
      <c r="K33" s="656"/>
    </row>
    <row r="34" spans="1:11" x14ac:dyDescent="0.25">
      <c r="A34" s="92"/>
      <c r="B34" s="93"/>
      <c r="C34" s="93"/>
      <c r="D34" s="93"/>
      <c r="E34" s="93"/>
      <c r="F34" s="607">
        <v>5000</v>
      </c>
      <c r="G34" s="93"/>
      <c r="H34" s="92"/>
      <c r="I34" s="92"/>
      <c r="J34" s="263" t="s">
        <v>1522</v>
      </c>
      <c r="K34" s="656"/>
    </row>
    <row r="35" spans="1:11" x14ac:dyDescent="0.25">
      <c r="A35" s="92"/>
      <c r="B35" s="93"/>
      <c r="C35" s="93"/>
      <c r="D35" s="93"/>
      <c r="E35" s="93"/>
      <c r="F35" s="607">
        <v>3977</v>
      </c>
      <c r="G35" s="93"/>
      <c r="H35" s="92"/>
      <c r="I35" s="92"/>
      <c r="J35" s="263" t="s">
        <v>1523</v>
      </c>
      <c r="K35" s="656"/>
    </row>
    <row r="36" spans="1:11" x14ac:dyDescent="0.25">
      <c r="A36" s="92"/>
      <c r="B36" s="93"/>
      <c r="C36" s="93"/>
      <c r="D36" s="93"/>
      <c r="E36" s="93"/>
      <c r="F36" s="607">
        <v>2489</v>
      </c>
      <c r="G36" s="93"/>
      <c r="H36" s="92"/>
      <c r="I36" s="92"/>
      <c r="J36" s="263" t="s">
        <v>1524</v>
      </c>
      <c r="K36" s="656"/>
    </row>
    <row r="37" spans="1:11" ht="15.75" thickBot="1" x14ac:dyDescent="0.3">
      <c r="A37" s="92"/>
      <c r="B37" s="93"/>
      <c r="C37" s="93"/>
      <c r="D37" s="93"/>
      <c r="E37" s="93"/>
      <c r="F37" s="607">
        <v>700</v>
      </c>
      <c r="G37" s="93"/>
      <c r="H37" s="92"/>
      <c r="I37" s="92"/>
      <c r="J37" s="263" t="s">
        <v>1210</v>
      </c>
      <c r="K37" s="657"/>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1466</v>
      </c>
    </row>
    <row r="43" spans="1:11" x14ac:dyDescent="0.25">
      <c r="B43" t="s">
        <v>1126</v>
      </c>
      <c r="D43" s="19">
        <v>120106</v>
      </c>
      <c r="H43" s="313"/>
    </row>
    <row r="44" spans="1:11" x14ac:dyDescent="0.25">
      <c r="B44" t="s">
        <v>1540</v>
      </c>
      <c r="D44" s="351">
        <v>40500</v>
      </c>
    </row>
    <row r="46" spans="1:11" x14ac:dyDescent="0.25">
      <c r="B46" t="s">
        <v>1570</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1561</v>
      </c>
      <c r="B1" s="92"/>
      <c r="C1" s="92"/>
      <c r="D1" s="92"/>
      <c r="E1" s="92"/>
      <c r="F1" s="92"/>
      <c r="G1" s="92"/>
      <c r="H1" s="92"/>
      <c r="I1" s="92"/>
      <c r="J1" s="169"/>
    </row>
    <row r="2" spans="1:11" ht="24" thickBot="1" x14ac:dyDescent="0.4">
      <c r="A2" s="483" t="s">
        <v>1578</v>
      </c>
      <c r="B2" s="371"/>
      <c r="C2" s="371"/>
      <c r="D2" s="371"/>
      <c r="E2" s="371"/>
      <c r="F2" s="371"/>
      <c r="G2" s="371"/>
      <c r="H2" s="92"/>
      <c r="I2" s="92"/>
      <c r="J2" s="169"/>
    </row>
    <row r="3" spans="1:11" ht="15.75" customHeight="1" thickBot="1" x14ac:dyDescent="0.3">
      <c r="A3" s="582" t="s">
        <v>3</v>
      </c>
      <c r="B3" s="647" t="s">
        <v>1451</v>
      </c>
      <c r="C3" s="648"/>
      <c r="D3" s="647" t="s">
        <v>1560</v>
      </c>
      <c r="E3" s="648"/>
      <c r="F3" s="650" t="s">
        <v>1453</v>
      </c>
      <c r="G3" s="651"/>
      <c r="H3" s="649" t="s">
        <v>1455</v>
      </c>
      <c r="I3" s="649"/>
      <c r="J3" s="613" t="s">
        <v>1124</v>
      </c>
    </row>
    <row r="4" spans="1:11" x14ac:dyDescent="0.25">
      <c r="A4" s="603"/>
      <c r="B4" s="602" t="s">
        <v>1180</v>
      </c>
      <c r="C4" s="602" t="s">
        <v>1179</v>
      </c>
      <c r="D4" s="602" t="s">
        <v>1180</v>
      </c>
      <c r="E4" s="602" t="s">
        <v>1179</v>
      </c>
      <c r="F4" s="604" t="s">
        <v>1180</v>
      </c>
      <c r="G4" s="604" t="s">
        <v>1179</v>
      </c>
      <c r="H4" s="605" t="s">
        <v>1452</v>
      </c>
      <c r="I4" s="605" t="s">
        <v>1179</v>
      </c>
      <c r="J4" s="614"/>
    </row>
    <row r="5" spans="1:11" x14ac:dyDescent="0.25">
      <c r="A5" s="92">
        <f>ROW()-3</f>
        <v>2</v>
      </c>
      <c r="B5" s="93">
        <v>15000</v>
      </c>
      <c r="C5" s="93"/>
      <c r="D5" s="93"/>
      <c r="E5" s="93"/>
      <c r="F5" s="93"/>
      <c r="G5" s="93">
        <v>15000</v>
      </c>
      <c r="H5" s="310"/>
      <c r="I5" s="93"/>
      <c r="J5" s="169" t="s">
        <v>1494</v>
      </c>
    </row>
    <row r="6" spans="1:11" x14ac:dyDescent="0.25">
      <c r="A6" s="92">
        <f>A5+1</f>
        <v>3</v>
      </c>
      <c r="B6" s="93">
        <v>8900</v>
      </c>
      <c r="C6" s="93"/>
      <c r="D6" s="93"/>
      <c r="E6" s="93"/>
      <c r="F6" s="93"/>
      <c r="G6" s="93">
        <v>8900</v>
      </c>
      <c r="H6" s="310"/>
      <c r="I6" s="93"/>
      <c r="J6" s="169" t="s">
        <v>1494</v>
      </c>
    </row>
    <row r="7" spans="1:11" ht="45.75" thickBot="1" x14ac:dyDescent="0.3">
      <c r="A7" s="92">
        <f>A6+1</f>
        <v>4</v>
      </c>
      <c r="B7" s="93"/>
      <c r="C7" s="93"/>
      <c r="D7" s="481">
        <v>4100</v>
      </c>
      <c r="E7" s="93"/>
      <c r="F7" s="586"/>
      <c r="G7" s="481">
        <v>4100</v>
      </c>
      <c r="H7" s="310"/>
      <c r="I7" s="93"/>
      <c r="J7" s="482" t="s">
        <v>1582</v>
      </c>
    </row>
    <row r="8" spans="1:11" x14ac:dyDescent="0.25">
      <c r="A8" s="92">
        <f>A7+1</f>
        <v>5</v>
      </c>
      <c r="B8" s="93"/>
      <c r="C8" s="93"/>
      <c r="D8" s="93"/>
      <c r="E8" s="262"/>
      <c r="F8" s="623">
        <v>2800</v>
      </c>
      <c r="G8" s="622"/>
      <c r="H8" s="93"/>
      <c r="I8" s="93"/>
      <c r="J8" s="618" t="s">
        <v>1551</v>
      </c>
      <c r="K8" s="658" t="s">
        <v>1569</v>
      </c>
    </row>
    <row r="9" spans="1:11" x14ac:dyDescent="0.25">
      <c r="A9" s="92">
        <f t="shared" ref="A9:A19" si="0">A8+1</f>
        <v>6</v>
      </c>
      <c r="B9" s="93"/>
      <c r="C9" s="93"/>
      <c r="D9" s="93"/>
      <c r="E9" s="262"/>
      <c r="F9" s="624">
        <v>5712</v>
      </c>
      <c r="G9" s="622"/>
      <c r="H9" s="93"/>
      <c r="I9" s="93"/>
      <c r="J9" s="618" t="s">
        <v>1552</v>
      </c>
      <c r="K9" s="658"/>
    </row>
    <row r="10" spans="1:11" x14ac:dyDescent="0.25">
      <c r="A10" s="92">
        <f t="shared" si="0"/>
        <v>7</v>
      </c>
      <c r="B10" s="93"/>
      <c r="C10" s="93"/>
      <c r="D10" s="93"/>
      <c r="E10" s="262"/>
      <c r="F10" s="624">
        <v>9083</v>
      </c>
      <c r="G10" s="622"/>
      <c r="H10" s="93"/>
      <c r="I10" s="93"/>
      <c r="J10" s="618" t="s">
        <v>1553</v>
      </c>
      <c r="K10" s="658"/>
    </row>
    <row r="11" spans="1:11" x14ac:dyDescent="0.25">
      <c r="A11" s="92">
        <f t="shared" si="0"/>
        <v>8</v>
      </c>
      <c r="B11" s="93"/>
      <c r="C11" s="93"/>
      <c r="D11" s="93"/>
      <c r="E11" s="262"/>
      <c r="F11" s="624">
        <v>250</v>
      </c>
      <c r="G11" s="622"/>
      <c r="H11" s="93"/>
      <c r="I11" s="93"/>
      <c r="J11" s="618" t="s">
        <v>1554</v>
      </c>
      <c r="K11" s="658"/>
    </row>
    <row r="12" spans="1:11" x14ac:dyDescent="0.25">
      <c r="A12" s="92">
        <f t="shared" si="0"/>
        <v>9</v>
      </c>
      <c r="B12" s="93"/>
      <c r="C12" s="93"/>
      <c r="D12" s="93"/>
      <c r="E12" s="262"/>
      <c r="F12" s="624">
        <v>608</v>
      </c>
      <c r="G12" s="622"/>
      <c r="H12" s="93"/>
      <c r="I12" s="93"/>
      <c r="J12" s="618" t="s">
        <v>1555</v>
      </c>
      <c r="K12" s="658"/>
    </row>
    <row r="13" spans="1:11" x14ac:dyDescent="0.25">
      <c r="A13" s="92">
        <f t="shared" si="0"/>
        <v>10</v>
      </c>
      <c r="B13" s="93"/>
      <c r="C13" s="93"/>
      <c r="D13" s="93"/>
      <c r="E13" s="262"/>
      <c r="F13" s="624">
        <v>1000</v>
      </c>
      <c r="G13" s="622"/>
      <c r="H13" s="93"/>
      <c r="I13" s="93"/>
      <c r="J13" s="618" t="s">
        <v>1556</v>
      </c>
      <c r="K13" s="658"/>
    </row>
    <row r="14" spans="1:11" x14ac:dyDescent="0.25">
      <c r="A14" s="92">
        <f t="shared" si="0"/>
        <v>11</v>
      </c>
      <c r="B14" s="93"/>
      <c r="C14" s="93"/>
      <c r="D14" s="93"/>
      <c r="E14" s="262"/>
      <c r="F14" s="624">
        <v>750</v>
      </c>
      <c r="G14" s="622"/>
      <c r="H14" s="93"/>
      <c r="I14" s="93"/>
      <c r="J14" s="618" t="s">
        <v>1557</v>
      </c>
      <c r="K14" s="658"/>
    </row>
    <row r="15" spans="1:11" x14ac:dyDescent="0.25">
      <c r="A15" s="92">
        <f t="shared" si="0"/>
        <v>12</v>
      </c>
      <c r="B15" s="93"/>
      <c r="C15" s="93"/>
      <c r="D15" s="93"/>
      <c r="E15" s="262"/>
      <c r="F15" s="624">
        <v>700</v>
      </c>
      <c r="G15" s="622"/>
      <c r="H15" s="93"/>
      <c r="I15" s="93"/>
      <c r="J15" s="618" t="s">
        <v>1558</v>
      </c>
      <c r="K15" s="658"/>
    </row>
    <row r="16" spans="1:11" x14ac:dyDescent="0.25">
      <c r="A16" s="92">
        <f t="shared" si="0"/>
        <v>13</v>
      </c>
      <c r="B16" s="93"/>
      <c r="C16" s="93"/>
      <c r="D16" s="93"/>
      <c r="E16" s="262"/>
      <c r="F16" s="624">
        <v>2998</v>
      </c>
      <c r="G16" s="622"/>
      <c r="H16" s="93"/>
      <c r="I16" s="93"/>
      <c r="J16" s="618" t="s">
        <v>1559</v>
      </c>
      <c r="K16" s="658"/>
    </row>
    <row r="17" spans="1:11" ht="15.75" thickBot="1" x14ac:dyDescent="0.3">
      <c r="A17" s="92">
        <f>A16+1</f>
        <v>14</v>
      </c>
      <c r="B17" s="93"/>
      <c r="C17" s="93"/>
      <c r="D17" s="93"/>
      <c r="E17" s="626">
        <v>3198</v>
      </c>
      <c r="F17" s="625">
        <v>3198</v>
      </c>
      <c r="G17" s="622"/>
      <c r="H17" s="93"/>
      <c r="I17" s="93"/>
      <c r="J17" s="621" t="s">
        <v>1575</v>
      </c>
      <c r="K17" s="620"/>
    </row>
    <row r="18" spans="1:11" ht="30.75" thickBot="1" x14ac:dyDescent="0.3">
      <c r="A18" s="92">
        <f t="shared" si="0"/>
        <v>15</v>
      </c>
      <c r="B18" s="630">
        <f>D7-E17</f>
        <v>902</v>
      </c>
      <c r="C18" s="93"/>
      <c r="D18" s="262"/>
      <c r="E18" s="628">
        <v>902</v>
      </c>
      <c r="F18" s="629"/>
      <c r="G18" s="93"/>
      <c r="H18" s="93"/>
      <c r="I18" s="93"/>
      <c r="J18" s="621" t="s">
        <v>1576</v>
      </c>
      <c r="K18" s="620"/>
    </row>
    <row r="19" spans="1:11" ht="15.75" thickBot="1" x14ac:dyDescent="0.3">
      <c r="A19" s="92">
        <f t="shared" si="0"/>
        <v>16</v>
      </c>
      <c r="B19" s="93"/>
      <c r="C19" s="93">
        <v>23900</v>
      </c>
      <c r="D19" s="93"/>
      <c r="E19" s="627"/>
      <c r="F19" s="280"/>
      <c r="G19" s="93"/>
      <c r="H19" s="586">
        <v>23900</v>
      </c>
      <c r="I19" s="93"/>
      <c r="J19" s="617" t="s">
        <v>1568</v>
      </c>
    </row>
    <row r="20" spans="1:11" ht="60.75" thickBot="1" x14ac:dyDescent="0.3">
      <c r="A20" s="92">
        <f>A19+1</f>
        <v>17</v>
      </c>
      <c r="B20" s="93"/>
      <c r="C20" s="93"/>
      <c r="D20" s="93"/>
      <c r="E20" s="93"/>
      <c r="F20" s="280"/>
      <c r="G20" s="262"/>
      <c r="H20" s="631">
        <f>20000-19688</f>
        <v>312</v>
      </c>
      <c r="I20" s="622"/>
      <c r="J20" s="169" t="s">
        <v>1583</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1579</v>
      </c>
    </row>
    <row r="25" spans="1:11" x14ac:dyDescent="0.25">
      <c r="B25" s="317" t="s">
        <v>1565</v>
      </c>
      <c r="C25" s="317"/>
      <c r="D25" s="318">
        <v>20000</v>
      </c>
      <c r="E25" s="317" t="s">
        <v>1567</v>
      </c>
      <c r="F25" s="317"/>
      <c r="G25" t="s">
        <v>1580</v>
      </c>
    </row>
    <row r="26" spans="1:11" x14ac:dyDescent="0.25">
      <c r="B26" s="317"/>
      <c r="C26" s="317"/>
      <c r="D26" s="317"/>
      <c r="E26" s="317"/>
      <c r="F26" s="317"/>
    </row>
    <row r="27" spans="1:11" x14ac:dyDescent="0.25">
      <c r="B27" s="317" t="s">
        <v>1566</v>
      </c>
      <c r="C27" s="317"/>
      <c r="D27" s="318">
        <f>D24-D25</f>
        <v>8313</v>
      </c>
      <c r="E27" s="317"/>
      <c r="F27" s="317"/>
      <c r="G27" t="s">
        <v>1581</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62"/>
  <sheetViews>
    <sheetView tabSelected="1" workbookViewId="0">
      <pane xSplit="2" ySplit="3" topLeftCell="C24" activePane="bottomRight" state="frozen"/>
      <selection pane="topRight" activeCell="C1" sqref="C1"/>
      <selection pane="bottomLeft" activeCell="A4" sqref="A4"/>
      <selection pane="bottomRight" activeCell="N47" sqref="N47"/>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3" t="s">
        <v>1</v>
      </c>
      <c r="H2" s="643"/>
      <c r="I2" s="643"/>
      <c r="J2" s="643"/>
      <c r="K2" s="645" t="s">
        <v>803</v>
      </c>
      <c r="L2" s="646"/>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1598</v>
      </c>
      <c r="O6" s="34" t="s">
        <v>8</v>
      </c>
      <c r="P6" s="34" t="s">
        <v>885</v>
      </c>
    </row>
    <row r="7" spans="1:16" ht="30" x14ac:dyDescent="0.25">
      <c r="A7" s="34"/>
      <c r="B7" s="35">
        <v>46114</v>
      </c>
      <c r="C7" s="36" t="s">
        <v>388</v>
      </c>
      <c r="D7" s="36" t="s">
        <v>556</v>
      </c>
      <c r="E7" s="36" t="s">
        <v>988</v>
      </c>
      <c r="F7" s="34"/>
      <c r="G7" s="37">
        <v>1500</v>
      </c>
      <c r="H7" s="37"/>
      <c r="I7" s="86">
        <f t="shared" ref="I7:I36" si="0">I6+G7-K7</f>
        <v>44227.22</v>
      </c>
      <c r="J7" s="86"/>
      <c r="K7" s="39"/>
      <c r="L7" s="39"/>
      <c r="M7" s="391">
        <f>M6+J7-L7</f>
        <v>0</v>
      </c>
      <c r="N7" s="181" t="s">
        <v>1599</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1600</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1601</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1602</v>
      </c>
      <c r="O10" s="34" t="s">
        <v>8</v>
      </c>
      <c r="P10" s="34" t="s">
        <v>885</v>
      </c>
    </row>
    <row r="11" spans="1:16" ht="45" x14ac:dyDescent="0.25">
      <c r="A11" s="34"/>
      <c r="B11" s="35">
        <v>46117</v>
      </c>
      <c r="C11" s="36" t="s">
        <v>1604</v>
      </c>
      <c r="D11" s="36" t="s">
        <v>382</v>
      </c>
      <c r="E11" s="36"/>
      <c r="F11" s="34"/>
      <c r="G11" s="37">
        <v>1500</v>
      </c>
      <c r="H11" s="37"/>
      <c r="I11" s="86">
        <f t="shared" si="0"/>
        <v>53227.22</v>
      </c>
      <c r="J11" s="86"/>
      <c r="K11" s="39"/>
      <c r="L11" s="39"/>
      <c r="M11" s="391">
        <f t="shared" si="1"/>
        <v>0</v>
      </c>
      <c r="N11" s="181" t="s">
        <v>1605</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1606</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1615</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1608</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1610</v>
      </c>
      <c r="O15" s="34" t="s">
        <v>8</v>
      </c>
      <c r="P15" s="34" t="s">
        <v>885</v>
      </c>
    </row>
    <row r="16" spans="1:16" ht="30" x14ac:dyDescent="0.25">
      <c r="A16" s="34"/>
      <c r="B16" s="35">
        <v>46133</v>
      </c>
      <c r="C16" s="36" t="s">
        <v>1317</v>
      </c>
      <c r="D16" s="36" t="s">
        <v>1316</v>
      </c>
      <c r="E16" s="36" t="s">
        <v>1613</v>
      </c>
      <c r="F16" s="34"/>
      <c r="G16" s="37">
        <v>2500</v>
      </c>
      <c r="H16" s="37"/>
      <c r="I16" s="86">
        <f t="shared" si="0"/>
        <v>68726.75</v>
      </c>
      <c r="J16" s="86"/>
      <c r="K16" s="39"/>
      <c r="L16" s="39"/>
      <c r="M16" s="391"/>
      <c r="N16" s="181" t="s">
        <v>1611</v>
      </c>
      <c r="O16" s="34" t="s">
        <v>8</v>
      </c>
      <c r="P16" s="34" t="s">
        <v>885</v>
      </c>
    </row>
    <row r="17" spans="1:16" x14ac:dyDescent="0.25">
      <c r="A17" s="34"/>
      <c r="B17" s="35">
        <v>46133</v>
      </c>
      <c r="C17" s="36" t="s">
        <v>934</v>
      </c>
      <c r="D17" s="36" t="s">
        <v>1614</v>
      </c>
      <c r="E17" s="36" t="s">
        <v>29</v>
      </c>
      <c r="F17" s="34"/>
      <c r="G17" s="37">
        <v>7500</v>
      </c>
      <c r="H17" s="37"/>
      <c r="I17" s="86">
        <f t="shared" si="0"/>
        <v>76226.75</v>
      </c>
      <c r="J17" s="86"/>
      <c r="K17" s="39"/>
      <c r="L17" s="39"/>
      <c r="M17" s="391"/>
      <c r="N17" s="181" t="s">
        <v>1612</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1619</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1620</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1645</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1621</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1646</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1632</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1622</v>
      </c>
      <c r="O24" s="34" t="s">
        <v>8</v>
      </c>
      <c r="P24" s="34" t="s">
        <v>885</v>
      </c>
    </row>
    <row r="25" spans="1:16" x14ac:dyDescent="0.25">
      <c r="A25" s="34"/>
      <c r="B25" s="35">
        <v>46141</v>
      </c>
      <c r="C25" s="36" t="s">
        <v>1630</v>
      </c>
      <c r="D25" s="36" t="s">
        <v>1631</v>
      </c>
      <c r="E25" s="36" t="s">
        <v>991</v>
      </c>
      <c r="F25" s="34"/>
      <c r="G25" s="37">
        <v>2500</v>
      </c>
      <c r="H25" s="37"/>
      <c r="I25" s="86">
        <f t="shared" si="0"/>
        <v>117726.75</v>
      </c>
      <c r="J25" s="86"/>
      <c r="K25" s="39"/>
      <c r="L25" s="39"/>
      <c r="M25" s="391"/>
      <c r="N25" s="181" t="s">
        <v>1623</v>
      </c>
      <c r="O25" s="34" t="s">
        <v>8</v>
      </c>
      <c r="P25" s="34" t="s">
        <v>885</v>
      </c>
    </row>
    <row r="26" spans="1:16" ht="30" x14ac:dyDescent="0.25">
      <c r="A26" s="34"/>
      <c r="B26" s="35">
        <v>46141</v>
      </c>
      <c r="C26" s="36" t="s">
        <v>1644</v>
      </c>
      <c r="D26" s="36" t="s">
        <v>20</v>
      </c>
      <c r="E26" s="36" t="s">
        <v>29</v>
      </c>
      <c r="F26" s="34"/>
      <c r="G26" s="37">
        <v>2500</v>
      </c>
      <c r="H26" s="37"/>
      <c r="I26" s="86">
        <f t="shared" si="0"/>
        <v>120226.75</v>
      </c>
      <c r="J26" s="86"/>
      <c r="K26" s="39"/>
      <c r="L26" s="39"/>
      <c r="M26" s="391"/>
      <c r="N26" s="181" t="s">
        <v>1624</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1625</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1626</v>
      </c>
      <c r="O28" s="34" t="s">
        <v>8</v>
      </c>
      <c r="P28" s="34" t="s">
        <v>885</v>
      </c>
    </row>
    <row r="29" spans="1:16" ht="30" x14ac:dyDescent="0.25">
      <c r="A29" s="34"/>
      <c r="B29" s="35">
        <v>46142</v>
      </c>
      <c r="C29" s="36" t="s">
        <v>1049</v>
      </c>
      <c r="D29" s="36" t="s">
        <v>1640</v>
      </c>
      <c r="E29" s="36"/>
      <c r="F29" s="34"/>
      <c r="G29" s="37">
        <v>3000</v>
      </c>
      <c r="H29" s="37"/>
      <c r="I29" s="86">
        <f t="shared" si="0"/>
        <v>126988.75</v>
      </c>
      <c r="J29" s="86"/>
      <c r="K29" s="39"/>
      <c r="L29" s="39"/>
      <c r="M29" s="391"/>
      <c r="N29" s="181" t="s">
        <v>1627</v>
      </c>
      <c r="O29" s="34" t="s">
        <v>8</v>
      </c>
      <c r="P29" s="34" t="s">
        <v>885</v>
      </c>
    </row>
    <row r="30" spans="1:16" ht="60" x14ac:dyDescent="0.25">
      <c r="A30" s="34"/>
      <c r="B30" s="35">
        <v>46143</v>
      </c>
      <c r="C30" s="36" t="s">
        <v>1103</v>
      </c>
      <c r="D30" s="36" t="s">
        <v>1641</v>
      </c>
      <c r="E30" s="36" t="s">
        <v>993</v>
      </c>
      <c r="F30" s="34"/>
      <c r="G30" s="37">
        <v>1250</v>
      </c>
      <c r="H30" s="37"/>
      <c r="I30" s="86">
        <f t="shared" si="0"/>
        <v>128238.75</v>
      </c>
      <c r="J30" s="86"/>
      <c r="K30" s="39"/>
      <c r="L30" s="39"/>
      <c r="M30" s="391"/>
      <c r="N30" s="181" t="s">
        <v>1628</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1629</v>
      </c>
      <c r="O31" s="34" t="s">
        <v>245</v>
      </c>
      <c r="P31" s="34" t="s">
        <v>885</v>
      </c>
    </row>
    <row r="32" spans="1:16" ht="30" x14ac:dyDescent="0.25">
      <c r="A32" s="34"/>
      <c r="B32" s="35">
        <v>46147</v>
      </c>
      <c r="C32" s="36" t="s">
        <v>585</v>
      </c>
      <c r="D32" s="36" t="s">
        <v>1637</v>
      </c>
      <c r="E32" s="36" t="s">
        <v>23</v>
      </c>
      <c r="F32" s="34"/>
      <c r="G32" s="37">
        <v>2500</v>
      </c>
      <c r="H32" s="37"/>
      <c r="I32" s="86">
        <f t="shared" si="0"/>
        <v>131014.75</v>
      </c>
      <c r="J32" s="86"/>
      <c r="K32" s="39"/>
      <c r="L32" s="39"/>
      <c r="M32" s="391"/>
      <c r="N32" s="181" t="s">
        <v>1633</v>
      </c>
      <c r="O32" s="34" t="s">
        <v>8</v>
      </c>
      <c r="P32" s="34" t="s">
        <v>885</v>
      </c>
    </row>
    <row r="33" spans="1:16" ht="30" x14ac:dyDescent="0.25">
      <c r="A33" s="667"/>
      <c r="B33" s="668">
        <v>46147</v>
      </c>
      <c r="C33" s="669" t="s">
        <v>1638</v>
      </c>
      <c r="D33" s="669"/>
      <c r="E33" s="669"/>
      <c r="F33" s="34"/>
      <c r="G33" s="37"/>
      <c r="H33" s="37"/>
      <c r="I33" s="86">
        <f t="shared" si="0"/>
        <v>127514.75</v>
      </c>
      <c r="J33" s="86"/>
      <c r="K33" s="39">
        <v>3500</v>
      </c>
      <c r="L33" s="39"/>
      <c r="M33" s="391"/>
      <c r="N33" s="181" t="s">
        <v>1634</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1635</v>
      </c>
      <c r="O34" s="34" t="s">
        <v>121</v>
      </c>
      <c r="P34" s="34" t="s">
        <v>857</v>
      </c>
    </row>
    <row r="35" spans="1:16" ht="30" x14ac:dyDescent="0.25">
      <c r="A35" s="667"/>
      <c r="B35" s="668">
        <v>46147</v>
      </c>
      <c r="C35" s="669" t="s">
        <v>1639</v>
      </c>
      <c r="D35" s="669"/>
      <c r="E35" s="669"/>
      <c r="F35" s="34"/>
      <c r="G35" s="37"/>
      <c r="H35" s="37"/>
      <c r="I35" s="86">
        <f t="shared" si="0"/>
        <v>124508.85</v>
      </c>
      <c r="J35" s="86"/>
      <c r="K35" s="39">
        <v>3000</v>
      </c>
      <c r="L35" s="39"/>
      <c r="M35" s="391"/>
      <c r="N35" s="181" t="s">
        <v>1636</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1635</v>
      </c>
      <c r="O36" s="34" t="s">
        <v>121</v>
      </c>
      <c r="P36" s="34" t="s">
        <v>857</v>
      </c>
    </row>
    <row r="37" spans="1:16" x14ac:dyDescent="0.25">
      <c r="A37" s="34"/>
      <c r="B37" s="35"/>
      <c r="C37" s="36"/>
      <c r="D37" s="36"/>
      <c r="E37" s="36"/>
      <c r="F37" s="34"/>
      <c r="G37" s="37"/>
      <c r="H37" s="37"/>
      <c r="I37" s="86"/>
      <c r="J37" s="86"/>
      <c r="K37" s="39"/>
      <c r="L37" s="39"/>
      <c r="M37" s="391"/>
      <c r="N37" s="181"/>
      <c r="O37" s="34"/>
      <c r="P37" s="34"/>
    </row>
    <row r="38" spans="1:16" x14ac:dyDescent="0.25">
      <c r="A38" s="34"/>
      <c r="B38" s="35"/>
      <c r="C38" s="36"/>
      <c r="D38" s="36"/>
      <c r="E38" s="36"/>
      <c r="F38" s="34"/>
      <c r="G38" s="37"/>
      <c r="H38" s="37"/>
      <c r="I38" s="86"/>
      <c r="J38" s="86"/>
      <c r="K38" s="39"/>
      <c r="L38" s="39"/>
      <c r="M38" s="391"/>
      <c r="N38" s="181"/>
      <c r="O38" s="34"/>
      <c r="P38" s="34"/>
    </row>
    <row r="39" spans="1:16" x14ac:dyDescent="0.25">
      <c r="A39" s="34"/>
      <c r="B39" s="35"/>
      <c r="C39" s="36"/>
      <c r="D39" s="36"/>
      <c r="E39" s="36"/>
      <c r="F39" s="34"/>
      <c r="G39" s="37"/>
      <c r="H39" s="37"/>
      <c r="I39" s="86"/>
      <c r="J39" s="86"/>
      <c r="K39" s="39"/>
      <c r="L39" s="39"/>
      <c r="M39" s="391"/>
      <c r="N39" s="181"/>
      <c r="O39" s="34"/>
      <c r="P39" s="34"/>
    </row>
    <row r="40" spans="1:16" x14ac:dyDescent="0.25">
      <c r="A40" s="438"/>
      <c r="B40" s="595"/>
      <c r="C40" s="439"/>
      <c r="D40" s="439"/>
      <c r="E40" s="36"/>
      <c r="F40" s="34"/>
      <c r="G40" s="37"/>
      <c r="H40" s="37"/>
      <c r="I40" s="639"/>
      <c r="J40" s="86"/>
      <c r="K40" s="39"/>
      <c r="L40" s="39"/>
      <c r="M40" s="579"/>
      <c r="N40" s="36"/>
      <c r="O40" s="34"/>
      <c r="P40" s="34"/>
    </row>
    <row r="41" spans="1:16" customFormat="1" ht="27" thickBot="1" x14ac:dyDescent="0.45">
      <c r="A41" s="403" t="s">
        <v>1298</v>
      </c>
      <c r="B41" s="404"/>
      <c r="C41" s="404"/>
      <c r="D41" s="404"/>
      <c r="E41" s="404"/>
      <c r="F41" s="404"/>
      <c r="G41" s="404"/>
      <c r="H41" s="404"/>
      <c r="I41" s="404"/>
      <c r="J41" s="467"/>
      <c r="K41" s="404"/>
      <c r="L41" s="404"/>
      <c r="M41" s="404"/>
      <c r="N41" s="404"/>
      <c r="O41" s="404"/>
      <c r="P41" s="405"/>
    </row>
    <row r="42" spans="1:16" customFormat="1" x14ac:dyDescent="0.25">
      <c r="J42" s="165"/>
    </row>
    <row r="43" spans="1:16" customFormat="1" ht="15.75" thickBot="1" x14ac:dyDescent="0.3">
      <c r="A43" s="344"/>
      <c r="B43" s="344"/>
      <c r="C43" s="344"/>
      <c r="D43" s="344"/>
      <c r="E43" s="344"/>
      <c r="J43" s="165"/>
    </row>
    <row r="44" spans="1:16" customFormat="1" ht="30" x14ac:dyDescent="0.25">
      <c r="C44" s="345" t="s">
        <v>848</v>
      </c>
      <c r="D44" s="346"/>
      <c r="E44" s="346"/>
      <c r="F44" s="346"/>
      <c r="G44" s="347" t="s">
        <v>113</v>
      </c>
      <c r="H44" s="347"/>
      <c r="I44" s="544" t="s">
        <v>1325</v>
      </c>
      <c r="J44" s="641" t="s">
        <v>1228</v>
      </c>
      <c r="K44" s="293"/>
      <c r="L44" s="642" t="s">
        <v>1410</v>
      </c>
      <c r="M44" s="293" t="s">
        <v>1411</v>
      </c>
    </row>
    <row r="45" spans="1:16" customFormat="1" x14ac:dyDescent="0.25">
      <c r="C45" s="349"/>
      <c r="D45" s="350"/>
      <c r="E45" s="350"/>
      <c r="F45" s="350"/>
      <c r="G45" s="351"/>
      <c r="H45" s="351"/>
      <c r="I45" s="351"/>
      <c r="J45" s="600"/>
      <c r="K45" s="97" t="s">
        <v>1087</v>
      </c>
      <c r="L45" s="528">
        <v>245012.59</v>
      </c>
      <c r="M45" s="277">
        <v>53931</v>
      </c>
    </row>
    <row r="46" spans="1:16" customFormat="1" x14ac:dyDescent="0.25">
      <c r="C46" s="470" t="s">
        <v>862</v>
      </c>
      <c r="D46" s="350"/>
      <c r="E46" s="351"/>
      <c r="F46" s="350"/>
      <c r="G46" s="351">
        <f>SUM(G6:G13)+SUM(G15,G16,G17,H30,G18,G19,G20,G21,G22,G23,G24,G25,G26,G27,G28,G29,G30,H34)</f>
        <v>88012</v>
      </c>
      <c r="H46" s="351"/>
      <c r="I46" s="413"/>
      <c r="J46" s="600"/>
      <c r="K46" s="97" t="s">
        <v>1088</v>
      </c>
      <c r="L46" s="528">
        <v>242001.18</v>
      </c>
      <c r="M46" s="277">
        <v>144489.38999999996</v>
      </c>
    </row>
    <row r="47" spans="1:16" customFormat="1" x14ac:dyDescent="0.25">
      <c r="C47" s="471" t="s">
        <v>903</v>
      </c>
      <c r="D47" s="350" t="s">
        <v>1595</v>
      </c>
      <c r="E47" s="350"/>
      <c r="F47" s="350"/>
      <c r="G47" s="351"/>
      <c r="H47" s="351"/>
      <c r="I47" s="351"/>
      <c r="J47" s="601"/>
      <c r="K47" s="291" t="s">
        <v>1089</v>
      </c>
      <c r="L47" s="528">
        <v>225000</v>
      </c>
      <c r="M47" s="277">
        <v>117392.5</v>
      </c>
    </row>
    <row r="48" spans="1:16" customFormat="1" x14ac:dyDescent="0.25">
      <c r="C48" s="473" t="s">
        <v>904</v>
      </c>
      <c r="D48" s="351"/>
      <c r="E48" s="351"/>
      <c r="F48" s="350"/>
      <c r="G48" s="351"/>
      <c r="H48" s="351"/>
      <c r="I48" s="351"/>
      <c r="J48" s="601"/>
      <c r="K48" s="291" t="s">
        <v>1090</v>
      </c>
      <c r="L48" s="528">
        <v>282880</v>
      </c>
      <c r="M48" s="277">
        <v>92512</v>
      </c>
    </row>
    <row r="49" spans="3:13" customFormat="1" ht="15.75" customHeight="1" x14ac:dyDescent="0.25">
      <c r="C49" s="474" t="s">
        <v>905</v>
      </c>
      <c r="D49" s="350"/>
      <c r="E49" s="350"/>
      <c r="F49" s="350"/>
      <c r="G49" s="412"/>
      <c r="H49" s="351"/>
      <c r="I49" s="351"/>
      <c r="J49" s="600"/>
      <c r="K49" s="97" t="s">
        <v>1385</v>
      </c>
      <c r="L49" s="528">
        <v>277486</v>
      </c>
      <c r="M49" s="277">
        <v>142696</v>
      </c>
    </row>
    <row r="50" spans="3:13" customFormat="1" x14ac:dyDescent="0.25">
      <c r="C50" s="475" t="s">
        <v>245</v>
      </c>
      <c r="D50" s="351"/>
      <c r="E50" s="351"/>
      <c r="F50" s="350"/>
      <c r="G50" s="351">
        <f>G31</f>
        <v>276</v>
      </c>
      <c r="H50" s="351"/>
      <c r="I50" s="413"/>
      <c r="J50" s="600"/>
      <c r="K50" s="97" t="s">
        <v>1603</v>
      </c>
      <c r="L50" s="277">
        <f>G46</f>
        <v>88012</v>
      </c>
      <c r="M50" s="293"/>
    </row>
    <row r="51" spans="3:13" customFormat="1" x14ac:dyDescent="0.25">
      <c r="C51" s="182" t="s">
        <v>1642</v>
      </c>
      <c r="D51" s="350"/>
      <c r="E51" s="350"/>
      <c r="F51" s="350"/>
      <c r="G51" s="351"/>
      <c r="H51" s="351"/>
      <c r="I51" s="351"/>
      <c r="J51" s="472"/>
    </row>
    <row r="52" spans="3:13" customFormat="1" x14ac:dyDescent="0.25">
      <c r="C52" s="476" t="s">
        <v>121</v>
      </c>
      <c r="D52" s="350"/>
      <c r="E52" s="350"/>
      <c r="F52" s="350"/>
      <c r="G52" s="413"/>
      <c r="H52" s="351"/>
      <c r="I52" s="351">
        <f>K14+K34+K36</f>
        <v>12.27</v>
      </c>
      <c r="J52" s="469"/>
    </row>
    <row r="53" spans="3:13" customFormat="1" x14ac:dyDescent="0.25">
      <c r="C53" s="477" t="s">
        <v>907</v>
      </c>
      <c r="D53" s="350"/>
      <c r="E53" s="350"/>
      <c r="F53" s="350"/>
      <c r="G53" s="413"/>
      <c r="H53" s="351"/>
      <c r="I53" s="351">
        <f>K33+K35</f>
        <v>6500</v>
      </c>
      <c r="J53" s="472"/>
    </row>
    <row r="54" spans="3:13" customFormat="1" x14ac:dyDescent="0.25">
      <c r="C54" s="399" t="s">
        <v>1047</v>
      </c>
      <c r="D54" s="350"/>
      <c r="E54" s="350"/>
      <c r="F54" s="350"/>
      <c r="G54" s="351"/>
      <c r="H54" s="351"/>
      <c r="I54" s="351"/>
      <c r="J54" s="469"/>
    </row>
    <row r="55" spans="3:13" customFormat="1" x14ac:dyDescent="0.25">
      <c r="C55" s="478" t="s">
        <v>1070</v>
      </c>
      <c r="D55" s="350"/>
      <c r="E55" s="350"/>
      <c r="F55" s="350"/>
      <c r="G55" s="351"/>
      <c r="H55" s="351"/>
      <c r="I55" s="351"/>
      <c r="J55" s="472"/>
    </row>
    <row r="56" spans="3:13" customFormat="1" x14ac:dyDescent="0.25">
      <c r="C56" s="536" t="s">
        <v>1289</v>
      </c>
      <c r="D56" s="350"/>
      <c r="E56" s="350"/>
      <c r="F56" s="350"/>
      <c r="G56" s="351"/>
      <c r="H56" s="351"/>
      <c r="I56" s="351"/>
      <c r="J56" s="472"/>
    </row>
    <row r="57" spans="3:13" customFormat="1" x14ac:dyDescent="0.25">
      <c r="C57" s="539" t="s">
        <v>1313</v>
      </c>
      <c r="D57" s="350"/>
      <c r="E57" s="350"/>
      <c r="F57" s="350"/>
      <c r="G57" s="351"/>
      <c r="H57" s="351"/>
      <c r="I57" s="351"/>
      <c r="J57" s="472"/>
    </row>
    <row r="58" spans="3:13" customFormat="1" x14ac:dyDescent="0.25">
      <c r="C58" s="609" t="s">
        <v>1545</v>
      </c>
      <c r="D58" s="350"/>
      <c r="E58" s="350"/>
      <c r="F58" s="350"/>
      <c r="G58" s="351"/>
      <c r="H58" s="351"/>
      <c r="I58" s="351"/>
      <c r="J58" s="472"/>
    </row>
    <row r="59" spans="3:13" customFormat="1" ht="18.75" x14ac:dyDescent="0.3">
      <c r="C59" s="349"/>
      <c r="D59" s="353" t="s">
        <v>800</v>
      </c>
      <c r="E59" s="353"/>
      <c r="F59" s="353"/>
      <c r="G59" s="530">
        <f>SUM(G46:G57)</f>
        <v>88288</v>
      </c>
      <c r="H59" s="530"/>
      <c r="I59" s="530">
        <f>SUM(I45:I57)</f>
        <v>6512.27</v>
      </c>
      <c r="J59" s="469"/>
    </row>
    <row r="60" spans="3:13" customFormat="1" x14ac:dyDescent="0.25">
      <c r="C60" s="349"/>
      <c r="D60" s="350"/>
      <c r="E60" s="350"/>
      <c r="F60" s="350"/>
      <c r="G60" s="351"/>
      <c r="H60" s="351"/>
      <c r="I60" s="351"/>
      <c r="J60" s="469"/>
    </row>
    <row r="61" spans="3:13" customFormat="1" ht="19.5" thickBot="1" x14ac:dyDescent="0.35">
      <c r="C61" s="479"/>
      <c r="D61" s="361" t="s">
        <v>1609</v>
      </c>
      <c r="E61" s="361"/>
      <c r="F61" s="361"/>
      <c r="G61" s="362"/>
      <c r="H61" s="362"/>
      <c r="I61" s="531">
        <f>G59-I59</f>
        <v>81775.73</v>
      </c>
      <c r="J61" s="532"/>
    </row>
    <row r="62" spans="3:13" customFormat="1" ht="21" x14ac:dyDescent="0.35">
      <c r="C62" s="524" t="s">
        <v>1276</v>
      </c>
      <c r="D62" s="525"/>
      <c r="E62" s="525"/>
      <c r="F62" s="525"/>
      <c r="G62" s="533"/>
      <c r="H62" s="19"/>
      <c r="I62" s="19"/>
      <c r="J62" s="165"/>
    </row>
  </sheetData>
  <mergeCells count="2">
    <mergeCell ref="G2:J2"/>
    <mergeCell ref="K2:L2"/>
  </mergeCells>
  <pageMargins left="0.7" right="0.7" top="0.75" bottom="0.75" header="0.3" footer="0.3"/>
  <pageSetup paperSize="9" orientation="portrait" horizontalDpi="0" verticalDpi="0"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1" t="s">
        <v>1125</v>
      </c>
      <c r="D2" s="662"/>
      <c r="E2" s="663" t="s">
        <v>1127</v>
      </c>
      <c r="F2" s="664"/>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59" t="s">
        <v>1153</v>
      </c>
    </row>
    <row r="22" spans="1:8" x14ac:dyDescent="0.25">
      <c r="A22" s="92"/>
      <c r="B22" s="428"/>
      <c r="C22" s="93"/>
      <c r="D22" s="429">
        <v>500</v>
      </c>
      <c r="E22" s="93"/>
      <c r="F22" s="93"/>
      <c r="G22" s="169" t="s">
        <v>1134</v>
      </c>
      <c r="H22" s="660"/>
    </row>
    <row r="23" spans="1:8" x14ac:dyDescent="0.25">
      <c r="A23" s="92"/>
      <c r="B23" s="428"/>
      <c r="C23" s="92"/>
      <c r="D23" s="429">
        <v>700</v>
      </c>
      <c r="E23" s="92"/>
      <c r="F23" s="92"/>
      <c r="G23" s="169" t="s">
        <v>1135</v>
      </c>
      <c r="H23" s="660"/>
    </row>
    <row r="24" spans="1:8" x14ac:dyDescent="0.25">
      <c r="A24" s="92"/>
      <c r="B24" s="428"/>
      <c r="C24" s="92"/>
      <c r="D24" s="429">
        <v>450</v>
      </c>
      <c r="E24" s="92"/>
      <c r="F24" s="92"/>
      <c r="G24" s="169" t="s">
        <v>1140</v>
      </c>
      <c r="H24" s="660"/>
    </row>
    <row r="25" spans="1:8" x14ac:dyDescent="0.25">
      <c r="A25" s="92"/>
      <c r="B25" s="428"/>
      <c r="C25" s="92"/>
      <c r="D25" s="429">
        <v>325</v>
      </c>
      <c r="E25" s="92"/>
      <c r="F25" s="92"/>
      <c r="G25" s="169" t="s">
        <v>1141</v>
      </c>
      <c r="H25" s="660"/>
    </row>
    <row r="26" spans="1:8" x14ac:dyDescent="0.25">
      <c r="A26" s="92"/>
      <c r="B26" s="428"/>
      <c r="C26" s="92"/>
      <c r="D26" s="429">
        <v>110</v>
      </c>
      <c r="E26" s="92"/>
      <c r="F26" s="92"/>
      <c r="G26" s="169" t="s">
        <v>1142</v>
      </c>
      <c r="H26" s="660"/>
    </row>
    <row r="27" spans="1:8" x14ac:dyDescent="0.25">
      <c r="A27" s="92"/>
      <c r="B27" s="428"/>
      <c r="C27" s="92"/>
      <c r="D27" s="429">
        <v>25</v>
      </c>
      <c r="E27" s="92"/>
      <c r="F27" s="92"/>
      <c r="G27" s="169" t="s">
        <v>1143</v>
      </c>
      <c r="H27" s="660"/>
    </row>
    <row r="28" spans="1:8" x14ac:dyDescent="0.25">
      <c r="A28" s="92"/>
      <c r="B28" s="428"/>
      <c r="C28" s="92"/>
      <c r="D28" s="429">
        <v>300</v>
      </c>
      <c r="E28" s="92"/>
      <c r="F28" s="92"/>
      <c r="G28" s="169" t="s">
        <v>1144</v>
      </c>
      <c r="H28" s="660"/>
    </row>
    <row r="29" spans="1:8" x14ac:dyDescent="0.25">
      <c r="A29" s="92"/>
      <c r="B29" s="428"/>
      <c r="C29" s="92"/>
      <c r="D29" s="429">
        <v>2000</v>
      </c>
      <c r="E29" s="92"/>
      <c r="F29" s="92"/>
      <c r="G29" s="169" t="s">
        <v>1145</v>
      </c>
      <c r="H29" s="660"/>
    </row>
    <row r="30" spans="1:8" x14ac:dyDescent="0.25">
      <c r="A30" s="92"/>
      <c r="B30" s="428">
        <v>45648</v>
      </c>
      <c r="C30" s="92"/>
      <c r="D30" s="92"/>
      <c r="E30" s="92"/>
      <c r="F30" s="93">
        <v>51964</v>
      </c>
      <c r="G30" s="169" t="s">
        <v>1147</v>
      </c>
      <c r="H30" s="660"/>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65" t="s">
        <v>1125</v>
      </c>
      <c r="D2" s="665"/>
      <c r="E2" s="666" t="s">
        <v>1127</v>
      </c>
      <c r="F2" s="666"/>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2026-05-05T08:45:01Z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