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766" firstSheet="2" activeTab="8"/>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3-24 Breakdown" sheetId="15" r:id="rId11"/>
    <sheet name="Income Stmt" sheetId="2" r:id="rId12"/>
    <sheet name="2023FamilyMeet" sheetId="13" r:id="rId13"/>
    <sheet name="2024FamilyMeet" sheetId="18" r:id="rId14"/>
    <sheet name="2025 Pongalfest" sheetId="19" r:id="rId15"/>
    <sheet name="Family_Meet_YOY" sheetId="14" r:id="rId16"/>
    <sheet name="2024 PongalFest" sheetId="16" r:id="rId17"/>
  </sheets>
  <definedNames>
    <definedName name="_xlnm._FilterDatabase" localSheetId="6" hidden="1">'Daybook 23-24'!$A$1:$O$130</definedName>
    <definedName name="_xlnm._FilterDatabase" localSheetId="7" hidden="1">'Daybook 24-25'!$A$1:$P$151</definedName>
    <definedName name="_xlnm._FilterDatabase" localSheetId="8" hidden="1">'Daybook 25-26'!$A$1:$P$89</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I142"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I138" i="20"/>
  <c r="I136" i="20"/>
  <c r="G136" i="20"/>
  <c r="G135" i="20"/>
  <c r="M121" i="20"/>
  <c r="M122" i="20" s="1"/>
  <c r="M123" i="20" s="1"/>
  <c r="M124" i="20" s="1"/>
  <c r="M125" i="20" s="1"/>
  <c r="M126" i="20" s="1"/>
  <c r="M127" i="20" s="1"/>
  <c r="M128" i="20" s="1"/>
  <c r="M129" i="20" s="1"/>
  <c r="M120" i="20"/>
  <c r="M119" i="20"/>
  <c r="M118" i="20"/>
  <c r="M117" i="20"/>
  <c r="M116" i="20"/>
  <c r="I129" i="20"/>
  <c r="I128" i="20"/>
  <c r="I121" i="20"/>
  <c r="I122" i="20" s="1"/>
  <c r="I123" i="20" s="1"/>
  <c r="I124" i="20" s="1"/>
  <c r="I125" i="20" s="1"/>
  <c r="I126" i="20" s="1"/>
  <c r="I127" i="20" s="1"/>
  <c r="M112" i="20" l="1"/>
  <c r="L111" i="20"/>
  <c r="L113" i="20" s="1"/>
  <c r="J104" i="20"/>
  <c r="I141" i="20" l="1"/>
  <c r="G139" i="20" l="1"/>
  <c r="G147" i="20" l="1"/>
  <c r="I147" i="20" l="1"/>
  <c r="I149"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J144" i="20" l="1"/>
  <c r="J140" i="20"/>
  <c r="L138"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J136" i="20" l="1"/>
  <c r="J147"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<sst xmlns="http://schemas.openxmlformats.org/spreadsheetml/2006/main" count="3297" uniqueCount="1480">
  <si>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</si>
  <si>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</si>
  <si>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</si>
  <si>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</si>
  <si>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</si>
  <si>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</si>
  <si>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</si>
  <si>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</si>
  <si>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</si>
  <si>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</si>
  <si>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</si>
  <si>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</si>
  <si>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</si>
  <si>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</si>
  <si>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</si>
  <si>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</si>
  <si>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</si>
  <si>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</si>
  <si>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</si>
  <si>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</si>
  <si>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</si>
  <si>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</si>
  <si>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</si>
  <si>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</si>
  <si>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</si>
  <si>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</si>
  <si>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</si>
  <si>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</si>
  <si>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</si>
  <si>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</si>
  <si>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</si>
  <si>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</si>
  <si>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</si>
  <si>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</si>
  <si>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</si>
  <si>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</si>
  <si>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</si>
  <si>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</si>
  <si>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</si>
  <si>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</si>
  <si>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</si>
  <si>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</si>
  <si>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</si>
  <si>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</si>
  <si>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</si>
  <si>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</si>
  <si>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</si>
  <si>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</si>
  <si>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</si>
  <si>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</si>
  <si>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</si>
  <si>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</si>
  <si>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</si>
  <si>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</si>
  <si>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</si>
  <si>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</si>
  <si>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</si>
  <si>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</si>
  <si>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</si>
  <si>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</si>
  <si>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</si>
  <si>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</si>
  <si>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</si>
  <si>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</si>
  <si>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</si>
  <si>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</si>
  <si>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</si>
  <si>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</si>
  <si>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</si>
  <si>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</si>
  <si>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</si>
  <si>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</si>
  <si>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</si>
  <si>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</si>
  <si>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</si>
  <si>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</si>
  <si>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</si>
  <si>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</si>
  <si>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</si>
  <si>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</si>
  <si>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</si>
  <si>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</si>
  <si>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</si>
  <si>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</si>
  <si>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</si>
  <si>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</si>
  <si>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</si>
  <si>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</si>
  <si>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</si>
  <si>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</si>
  <si>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</si>
  <si>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</si>
  <si>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</si>
  <si>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</si>
  <si>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</si>
  <si>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</si>
  <si>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</si>
  <si>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</si>
  <si>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</si>
  <si>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</si>
  <si>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</si>
  <si>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</si>
  <si>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</si>
  <si>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</si>
  <si>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</si>
  <si>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</si>
  <si>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</si>
  <si>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</si>
  <si>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</si>
  <si>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</si>
  <si>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</si>
  <si>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</si>
  <si>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</si>
  <si>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</si>
  <si>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</si>
  <si>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</si>
  <si>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</si>
  <si>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</si>
  <si>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</si>
  <si>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</si>
  <si>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</si>
  <si>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</si>
  <si>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</si>
  <si>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</si>
  <si>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</si>
  <si>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</si>
  <si>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</si>
  <si>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</si>
  <si>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</si>
  <si>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</si>
  <si>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</si>
  <si>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</si>
  <si>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</si>
  <si>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</si>
  <si>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</si>
  <si>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</si>
  <si>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</si>
  <si>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</si>
  <si>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</si>
  <si>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</si>
  <si>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</si>
  <si>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</si>
  <si>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</si>
  <si>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</si>
  <si>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</si>
  <si>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</si>
  <si>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</si>
  <si>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</si>
  <si>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</si>
  <si>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</si>
  <si>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</si>
  <si>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</si>
  <si>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</si>
  <si>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</si>
  <si>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</si>
  <si>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</si>
  <si>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</si>
  <si>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</si>
  <si>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</si>
  <si>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</si>
  <si>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</si>
  <si>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</si>
  <si>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</si>
  <si>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</si>
  <si>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</si>
  <si>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</si>
  <si>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</si>
  <si>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</si>
  <si>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</si>
  <si>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</si>
  <si>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</si>
  <si>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</si>
  <si>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</si>
  <si>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</si>
  <si>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</si>
  <si>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</si>
  <si>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</si>
  <si>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</si>
  <si>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</si>
  <si>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</si>
  <si>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</si>
  <si>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</si>
  <si>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</si>
  <si>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</si>
  <si>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</si>
  <si>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</si>
  <si>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</si>
  <si>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</si>
  <si>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</si>
  <si>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</si>
  <si>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</si>
  <si>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</si>
  <si>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</si>
  <si>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</si>
  <si>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</si>
  <si>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</si>
  <si>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</si>
  <si>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</si>
  <si>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</si>
  <si>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</si>
  <si>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</si>
  <si>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</si>
  <si>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</si>
  <si>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</si>
  <si>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</si>
  <si>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</si>
  <si>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</si>
  <si>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</si>
  <si>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</si>
  <si>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</si>
  <si>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</si>
  <si>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</si>
  <si>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</si>
  <si>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</si>
  <si>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</si>
  <si>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</si>
  <si>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</si>
  <si>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</si>
  <si>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</si>
  <si>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</si>
  <si>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</si>
  <si>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</si>
  <si>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</si>
  <si>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</si>
  <si>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</si>
  <si>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</si>
  <si>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</si>
  <si>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</si>
  <si>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</si>
  <si>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</si>
  <si>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</si>
  <si>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</si>
  <si>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</si>
  <si>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</si>
  <si>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</si>
  <si>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</si>
  <si>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</si>
  <si>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</si>
  <si>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</si>
  <si>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</si>
  <si>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</si>
  <si>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</si>
  <si>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</si>
  <si>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</si>
  <si>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</si>
  <si>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</si>
  <si>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</si>
  <si>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</si>
  <si>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</si>
  <si>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</si>
  <si>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</si>
  <si>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</si>
  <si>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</si>
  <si>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</si>
  <si>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</si>
  <si>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</si>
  <si>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</si>
  <si>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</si>
  <si>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</si>
  <si>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</si>
  <si>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</si>
  <si>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</si>
  <si>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</si>
  <si>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</si>
  <si>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</si>
  <si>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</si>
  <si>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</si>
  <si>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</si>
  <si>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</si>
  <si>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</si>
  <si>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</si>
  <si>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</si>
  <si>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</si>
  <si>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</si>
  <si>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</si>
  <si>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</si>
  <si>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</si>
  <si>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</si>
  <si>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</si>
  <si>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</si>
  <si>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</si>
  <si>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</si>
  <si>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</si>
  <si>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</si>
  <si>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</si>
  <si>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</si>
  <si>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</si>
  <si>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</si>
  <si>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</si>
  <si>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</si>
  <si>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</si>
  <si>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</si>
  <si>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</si>
  <si>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</si>
  <si>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</si>
  <si>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</si>
  <si>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</si>
  <si>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</si>
  <si>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</si>
  <si>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</si>
  <si>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</si>
  <si>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</si>
  <si>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</si>
  <si>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</si>
  <si>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</si>
  <si>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</si>
  <si>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</si>
  <si>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</si>
  <si>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</si>
  <si>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</si>
  <si>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</si>
  <si>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</si>
  <si>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</si>
  <si>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</si>
  <si>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</si>
  <si>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</si>
  <si>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</si>
  <si>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</si>
  <si>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</si>
  <si>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</si>
  <si>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</si>
  <si>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</si>
  <si>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</si>
  <si>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</si>
  <si>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</si>
  <si>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</si>
  <si>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</si>
  <si>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</si>
  <si>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</si>
  <si>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</si>
  <si>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</si>
  <si>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</si>
  <si>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</si>
  <si>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</si>
  <si>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</si>
  <si>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</si>
  <si>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</si>
  <si>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</si>
  <si>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</si>
  <si>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</si>
  <si>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</si>
  <si>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</si>
  <si>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</si>
  <si>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</si>
  <si>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</si>
  <si>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</si>
  <si>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</si>
  <si>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</si>
  <si>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</si>
  <si>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</si>
  <si>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</si>
  <si>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</si>
  <si>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</si>
  <si>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</si>
  <si>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</si>
  <si>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</si>
  <si>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</si>
  <si>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</si>
  <si>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</si>
  <si>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</si>
  <si>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</si>
  <si>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</si>
  <si>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</si>
  <si>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</si>
  <si>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</si>
  <si>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</si>
  <si>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</si>
  <si>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</si>
  <si>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</si>
  <si>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</si>
  <si>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</si>
  <si>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</si>
  <si>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</si>
  <si>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</si>
  <si>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</si>
  <si>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</si>
  <si>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</si>
  <si>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</si>
  <si>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</si>
  <si>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</si>
  <si>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</si>
  <si>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</si>
  <si>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</si>
  <si>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</si>
  <si>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</si>
  <si>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</si>
  <si>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</si>
  <si>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</si>
  <si>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</si>
  <si>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</si>
  <si>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</si>
  <si>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</si>
  <si>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</si>
  <si>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</si>
  <si>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</si>
  <si>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</si>
  <si>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</si>
  <si>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</si>
  <si>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</si>
  <si>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</si>
  <si>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</si>
  <si>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</si>
  <si>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</si>
  <si>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</si>
  <si>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</si>
  <si>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</si>
  <si>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</si>
  <si>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</si>
  <si>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</si>
  <si>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</si>
  <si>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</si>
  <si>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</si>
  <si>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</si>
  <si>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</si>
  <si>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</si>
  <si>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</si>
  <si>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</si>
  <si>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</si>
  <si>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</si>
  <si>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</si>
  <si>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</si>
  <si>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</si>
  <si>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</si>
  <si>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</si>
  <si>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</si>
  <si>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</si>
  <si>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</si>
  <si>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</si>
  <si>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</si>
  <si>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</si>
  <si>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</si>
  <si>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</si>
  <si>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</si>
  <si>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</si>
  <si>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</si>
  <si>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</si>
  <si>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</si>
  <si>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</si>
  <si>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</si>
  <si>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</si>
  <si>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</si>
  <si>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</si>
  <si>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</si>
  <si>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</si>
  <si>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</si>
  <si>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</si>
  <si>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</si>
  <si>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</si>
  <si>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</si>
  <si>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</si>
  <si>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</si>
  <si>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</si>
  <si>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</si>
  <si>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</si>
  <si>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</si>
  <si>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</si>
  <si>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</si>
  <si>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</si>
  <si>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</si>
  <si>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</si>
  <si>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</si>
  <si>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</si>
  <si>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</si>
  <si>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</si>
  <si>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</si>
  <si>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</si>
  <si>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</si>
  <si>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</si>
  <si>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</si>
  <si>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</si>
  <si>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</si>
  <si>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</si>
  <si>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</si>
  <si>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</si>
  <si>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</si>
  <si>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</si>
  <si>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</si>
  <si>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</si>
  <si>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</si>
  <si>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</si>
  <si>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</si>
  <si>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</si>
  <si>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</si>
  <si>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</si>
  <si>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</si>
  <si>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</si>
  <si>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</si>
  <si>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</si>
  <si>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</si>
  <si>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</si>
  <si>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</si>
  <si>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</si>
  <si>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</si>
  <si>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</si>
  <si>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</si>
  <si>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</si>
  <si>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</si>
  <si>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</si>
  <si>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</si>
  <si>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</si>
  <si>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</si>
  <si>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</si>
  <si>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</si>
  <si>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</si>
  <si>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</si>
  <si>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</si>
  <si>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</si>
  <si>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</si>
  <si>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</si>
  <si>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</si>
  <si>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</si>
  <si>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</si>
  <si>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</si>
  <si>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</si>
  <si>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</si>
  <si>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</si>
  <si>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</si>
  <si>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</si>
  <si>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</si>
  <si>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</si>
  <si>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</si>
  <si>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</si>
  <si>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</si>
  <si>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</si>
  <si>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</si>
  <si>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</si>
  <si>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</si>
  <si>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</si>
  <si>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</si>
  <si>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</si>
  <si>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</si>
  <si>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</si>
  <si>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</si>
  <si>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SCRA Account 2023-2024</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</si>
  <si>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</si>
  <si>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</si>
  <si>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</si>
  <si>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</si>
  <si>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</si>
  <si>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</si>
  <si>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</si>
  <si>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</si>
  <si>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</si>
  <si>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</si>
  <si>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</si>
  <si>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</si>
  <si>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</si>
  <si>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</si>
  <si>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</si>
  <si>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</si>
  <si>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</si>
  <si>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</si>
  <si>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</si>
  <si>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</si>
  <si>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</si>
  <si>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</si>
  <si>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</si>
  <si>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</si>
  <si>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</si>
  <si>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</si>
  <si>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</si>
  <si>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</si>
  <si>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</si>
  <si>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</si>
  <si>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</si>
  <si>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</si>
  <si>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</si>
  <si>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</si>
  <si>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</si>
  <si>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</si>
  <si>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</si>
  <si>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</si>
  <si>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</si>
  <si>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</si>
  <si>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</si>
  <si>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</si>
  <si>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</si>
  <si>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</si>
  <si>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</si>
  <si>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</si>
  <si>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</si>
  <si>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</si>
  <si>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</si>
  <si>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</si>
  <si>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</si>
  <si>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</si>
  <si>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</si>
  <si>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</si>
  <si>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</si>
  <si>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</si>
  <si>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</si>
  <si>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</si>
  <si>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</si>
  <si>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</si>
  <si>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</si>
  <si>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</si>
  <si>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</si>
  <si>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</si>
  <si>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</si>
  <si>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</si>
  <si>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</si>
  <si>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</si>
  <si>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</si>
  <si>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</si>
  <si>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</si>
  <si>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</si>
  <si>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</si>
  <si>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</si>
  <si>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</si>
  <si>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</si>
  <si>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</si>
  <si>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</si>
  <si>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</si>
  <si>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</si>
  <si>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</si>
  <si>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</si>
  <si>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</si>
  <si>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</si>
  <si>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</si>
  <si>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</si>
  <si>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</si>
  <si>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</si>
  <si>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</si>
  <si>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</si>
  <si>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</si>
  <si>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</si>
  <si>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</si>
  <si>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</si>
  <si>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</si>
  <si>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</si>
  <si>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</si>
  <si>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</si>
  <si>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</si>
  <si>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</si>
  <si>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</si>
  <si>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</si>
  <si>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</si>
  <si>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</si>
  <si>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</si>
  <si>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</si>
  <si>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</si>
  <si>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</si>
  <si>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</si>
  <si>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</si>
  <si>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</si>
  <si>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</si>
  <si>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</si>
  <si>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</si>
  <si>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</si>
  <si>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</si>
  <si>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</si>
  <si>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</si>
  <si>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</si>
  <si>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</si>
  <si>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</si>
  <si>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</si>
  <si>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</si>
  <si>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</si>
  <si>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</si>
  <si>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</si>
  <si>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</si>
  <si>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</si>
  <si>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</si>
  <si>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</si>
  <si>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</si>
  <si>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</si>
  <si>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</si>
  <si>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</si>
  <si>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</si>
  <si>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</si>
  <si>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</si>
  <si>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</si>
  <si>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</si>
  <si>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</si>
  <si>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</si>
  <si>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</si>
  <si>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</si>
  <si>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</si>
  <si>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</si>
  <si>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</si>
  <si>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</si>
  <si>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</si>
  <si>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</si>
  <si>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</si>
  <si>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</si>
  <si>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</si>
  <si>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</si>
  <si>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</si>
  <si>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</si>
  <si>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</si>
  <si>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</si>
  <si>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</si>
  <si>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</si>
  <si>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</si>
  <si>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</si>
  <si>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</si>
  <si>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</si>
  <si>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</si>
  <si>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</si>
  <si>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</si>
  <si>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</si>
  <si>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</si>
  <si>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</si>
  <si>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</si>
  <si>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</si>
  <si>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</si>
  <si>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</si>
  <si>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</si>
  <si>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</si>
  <si>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</si>
  <si>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</si>
  <si>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</si>
  <si>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</si>
  <si>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</si>
  <si>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</si>
  <si>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</si>
  <si>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</si>
  <si>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</si>
  <si>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</si>
  <si>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</si>
  <si>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</si>
  <si>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</si>
  <si>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</si>
  <si>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</si>
  <si>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</si>
  <si>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</si>
  <si>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</si>
  <si>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</si>
  <si>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</si>
  <si>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</si>
  <si>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</si>
  <si>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</si>
  <si>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</si>
  <si>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</si>
  <si>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</si>
  <si>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</si>
  <si>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</si>
  <si>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</si>
  <si>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</si>
  <si>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</si>
  <si>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</si>
  <si>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</si>
  <si>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</si>
  <si>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</si>
  <si>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</si>
  <si>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</si>
  <si>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</si>
  <si>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</si>
  <si>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</si>
  <si>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</si>
  <si>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</si>
  <si>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</si>
  <si>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</si>
  <si>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</si>
  <si>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</si>
  <si>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</si>
  <si>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</si>
  <si>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</si>
  <si>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</si>
  <si>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</si>
  <si>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</si>
  <si>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</si>
  <si>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</si>
  <si>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</si>
  <si>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</si>
  <si>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</si>
  <si>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</si>
  <si>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</si>
  <si>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</si>
  <si>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</si>
  <si>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</si>
  <si>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</si>
  <si>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</si>
  <si>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</si>
  <si>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</si>
  <si>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</si>
  <si>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</si>
  <si>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</si>
  <si>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</si>
  <si>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</si>
  <si>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</si>
  <si>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</si>
  <si>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</si>
  <si>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</si>
  <si>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</si>
  <si>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</si>
  <si>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</si>
  <si>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</si>
  <si>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</si>
  <si>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</si>
  <si>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</si>
  <si>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</si>
  <si>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</si>
  <si>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</si>
  <si>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</si>
  <si>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</si>
  <si>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</si>
  <si>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</si>
  <si>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</si>
  <si>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</si>
  <si>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</si>
  <si>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</si>
  <si>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</si>
  <si>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</si>
  <si>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</si>
  <si>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</si>
  <si>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</si>
  <si>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</si>
  <si>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</si>
  <si>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</si>
  <si>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</si>
  <si>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</si>
  <si>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</si>
  <si>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</si>
  <si>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</si>
  <si>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</si>
  <si>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</si>
  <si>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</si>
  <si>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</si>
  <si>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</si>
  <si>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</si>
  <si>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</si>
  <si>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</si>
  <si>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</si>
  <si>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</si>
  <si>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</si>
  <si>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</si>
  <si>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</si>
  <si>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</si>
  <si>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</si>
  <si>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</si>
  <si>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</si>
  <si>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</si>
  <si>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</si>
  <si>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</si>
  <si>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</si>
  <si>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</si>
  <si>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</si>
  <si>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</si>
  <si>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</si>
  <si>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</si>
  <si>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</si>
  <si>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</si>
  <si>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</si>
  <si>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</si>
  <si>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</si>
  <si>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</si>
  <si>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</si>
  <si>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</si>
  <si>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</si>
  <si>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</si>
  <si>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</si>
  <si>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</si>
  <si>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</si>
  <si>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</si>
  <si>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</si>
  <si>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</si>
  <si>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</si>
  <si>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</si>
  <si>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</si>
  <si>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</si>
  <si>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</si>
  <si>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</si>
  <si>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</si>
  <si>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</si>
  <si>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</si>
  <si>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</si>
  <si>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</si>
  <si>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</si>
  <si>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</si>
  <si>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</si>
  <si>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</si>
  <si>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</si>
  <si>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</si>
  <si>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</si>
  <si>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</si>
  <si>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</si>
  <si>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</si>
  <si>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</si>
  <si>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</si>
  <si>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</si>
  <si>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</si>
  <si>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</si>
  <si>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</si>
  <si>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</si>
  <si>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</si>
  <si>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</si>
  <si>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</si>
  <si>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</si>
  <si>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</si>
  <si>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</si>
  <si>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</si>
  <si>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</si>
  <si>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</si>
  <si>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</si>
  <si>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</si>
  <si>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</si>
  <si>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</si>
  <si>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</si>
  <si>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</si>
  <si>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</si>
  <si>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</si>
  <si>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</si>
  <si>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</si>
  <si>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</si>
  <si>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</si>
  <si>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</si>
  <si>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</si>
  <si>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</si>
  <si>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</si>
  <si>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</si>
  <si>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</si>
  <si>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</si>
  <si>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</si>
  <si>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</si>
  <si>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</si>
  <si>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</si>
  <si>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</si>
  <si>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</si>
  <si>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</si>
  <si>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</si>
  <si>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</si>
  <si>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</si>
  <si>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</si>
  <si>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</si>
  <si>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</si>
  <si>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</si>
  <si>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</si>
  <si>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</si>
  <si>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</si>
  <si>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</si>
  <si>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</si>
  <si>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</si>
  <si>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</si>
  <si>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</si>
  <si>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</si>
  <si>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</si>
  <si>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</si>
  <si>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</si>
  <si>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</si>
  <si>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</si>
  <si>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</si>
  <si>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</si>
  <si>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</si>
  <si>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</si>
  <si>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</si>
  <si>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</si>
  <si>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</si>
  <si>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</si>
  <si>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</si>
  <si>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</si>
  <si>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</si>
  <si>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</si>
  <si>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</si>
  <si>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</si>
  <si>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</si>
  <si>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</si>
  <si>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</si>
  <si>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</si>
  <si>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</si>
  <si>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</si>
  <si>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</si>
  <si>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</si>
  <si>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</si>
  <si>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</si>
  <si>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</si>
  <si>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</si>
  <si>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</si>
  <si>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</si>
  <si>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</si>
  <si>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</si>
  <si>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</si>
  <si>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</si>
  <si>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</si>
  <si>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</si>
  <si>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</si>
  <si>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</si>
  <si>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</si>
  <si>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</si>
  <si>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</si>
  <si>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</si>
  <si>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</si>
  <si>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</si>
  <si>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</si>
  <si>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</si>
  <si>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</si>
  <si>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</si>
  <si>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</si>
  <si>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</si>
  <si>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</si>
  <si>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</si>
  <si>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</si>
  <si>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</si>
  <si>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</si>
  <si>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</si>
  <si>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</si>
  <si>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</si>
  <si>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</si>
  <si>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</si>
  <si>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</si>
  <si>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</si>
  <si>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</si>
  <si>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</si>
  <si>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</si>
  <si>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</si>
  <si>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</si>
  <si>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</si>
  <si>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</si>
  <si>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</si>
  <si>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</si>
  <si>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</si>
  <si>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</si>
  <si>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</si>
  <si>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</si>
  <si>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</si>
  <si>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</si>
  <si>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</si>
  <si>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</si>
  <si>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</si>
  <si>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</si>
  <si>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</si>
  <si>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</si>
  <si>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</si>
  <si>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</si>
  <si>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</si>
  <si>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</si>
  <si>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</si>
  <si>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</si>
  <si>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</si>
  <si>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</si>
  <si>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</si>
  <si>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</si>
  <si>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</si>
  <si>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</si>
  <si>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</si>
  <si>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</si>
  <si>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</si>
  <si>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</si>
  <si>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</si>
  <si>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</si>
  <si>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</si>
  <si>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</si>
  <si>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</si>
  <si>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</si>
  <si>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</si>
  <si>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</si>
  <si>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</si>
  <si>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</si>
  <si>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</si>
  <si>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</si>
  <si>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</si>
  <si>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</si>
  <si>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</si>
  <si>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</si>
  <si>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</si>
  <si>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</si>
  <si>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</si>
  <si>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</si>
  <si>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</si>
  <si>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</si>
  <si>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</si>
  <si>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</si>
  <si>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</si>
  <si>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</si>
  <si>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</si>
  <si>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</si>
  <si>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</si>
  <si>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</si>
  <si>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</si>
  <si>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</si>
  <si>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</si>
  <si>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</si>
  <si>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</si>
  <si>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</si>
  <si>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</si>
  <si>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</si>
  <si>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</si>
  <si>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</si>
  <si>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</si>
  <si>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</si>
  <si>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</si>
  <si>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</si>
  <si>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</si>
  <si>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</si>
  <si>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</si>
  <si>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</si>
  <si>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</si>
  <si>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</si>
  <si>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</si>
  <si>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</si>
  <si>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</si>
  <si>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</si>
  <si>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</si>
  <si>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</si>
  <si>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</si>
  <si>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</si>
  <si>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</si>
  <si>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</si>
  <si>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</si>
  <si>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</si>
  <si>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</si>
  <si>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</si>
  <si>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</si>
  <si>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</si>
  <si>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</si>
  <si>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</si>
  <si>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</si>
  <si>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</si>
  <si>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</si>
  <si>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</si>
  <si>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</si>
  <si>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</si>
  <si>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</si>
  <si>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</si>
  <si>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</si>
  <si>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</si>
  <si>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</si>
  <si>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</si>
  <si>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</si>
  <si>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</si>
  <si>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</si>
  <si>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</si>
  <si>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</si>
  <si>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</si>
  <si>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</si>
  <si>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</si>
  <si>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</si>
  <si>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</si>
  <si>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</si>
  <si>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</si>
  <si>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</si>
  <si>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</si>
  <si>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</si>
  <si>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</si>
  <si>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</si>
  <si>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</si>
  <si>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</si>
  <si>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</si>
  <si>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</si>
  <si>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</si>
  <si>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</si>
  <si>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</si>
  <si>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</si>
  <si>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</si>
  <si>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</si>
  <si>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</si>
  <si>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</si>
  <si>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</si>
  <si>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</si>
  <si>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</si>
  <si>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</si>
  <si>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</si>
  <si>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</si>
  <si>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</si>
  <si>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</si>
  <si>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</si>
  <si>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</si>
  <si>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</si>
  <si>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</si>
  <si>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</si>
  <si>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</si>
  <si>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</si>
  <si>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</si>
  <si>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</si>
  <si>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</si>
  <si>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</si>
  <si>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</si>
  <si>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</si>
  <si>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</si>
  <si>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</si>
  <si>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</si>
  <si>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</si>
  <si>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</si>
  <si>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</si>
  <si>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</si>
  <si>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</si>
  <si>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</si>
  <si>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</si>
  <si>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</si>
  <si>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</si>
  <si>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</si>
  <si>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</si>
  <si>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</si>
  <si>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</si>
  <si>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</si>
  <si>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</si>
  <si>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</si>
  <si>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</si>
  <si>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</si>
  <si>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</si>
  <si>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</si>
  <si>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</si>
  <si>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</si>
  <si>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</si>
  <si>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</si>
  <si>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</si>
  <si>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</si>
  <si>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</si>
  <si>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</si>
  <si>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</si>
  <si>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</si>
  <si>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</si>
  <si>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</si>
  <si>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</si>
  <si>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</si>
  <si>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</si>
  <si>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</si>
  <si>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</si>
  <si>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</si>
  <si>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</si>
  <si>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</si>
  <si>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</si>
  <si>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</si>
  <si>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</si>
  <si>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</si>
  <si>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</si>
  <si>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</si>
  <si>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</si>
  <si>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</si>
  <si>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</si>
  <si>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</si>
  <si>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</si>
  <si>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</si>
  <si>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</si>
  <si>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</si>
  <si>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</si>
  <si>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</si>
  <si>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</si>
  <si>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</si>
  <si>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</si>
  <si>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</si>
  <si>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</si>
  <si>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</si>
  <si>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</si>
  <si>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</si>
  <si>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</si>
  <si>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</si>
  <si>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</si>
  <si>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</si>
  <si>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</si>
  <si>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</si>
  <si>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</si>
  <si>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</si>
  <si>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</si>
  <si>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</si>
  <si>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</si>
  <si>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</si>
  <si>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</si>
  <si>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</si>
  <si>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</si>
  <si>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</si>
  <si>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</si>
  <si>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</si>
  <si>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</si>
  <si>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</si>
  <si>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</si>
  <si>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</si>
  <si>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</si>
  <si>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</si>
  <si>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</si>
  <si>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</si>
  <si>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</si>
  <si>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</si>
  <si>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</si>
  <si>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</si>
  <si>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</si>
  <si>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</si>
  <si>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</si>
  <si>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</si>
  <si>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</si>
  <si>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</si>
  <si>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</si>
  <si>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</si>
  <si>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</si>
  <si>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</si>
  <si>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</si>
  <si>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</si>
  <si>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</si>
  <si>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</si>
  <si>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</si>
  <si>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</si>
  <si>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</si>
  <si>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</si>
  <si>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</si>
  <si>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</si>
  <si>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</si>
  <si>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</si>
  <si>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</si>
  <si>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</si>
  <si>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</si>
  <si>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</si>
  <si>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</si>
  <si>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</si>
  <si>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</si>
  <si>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</si>
  <si>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</si>
  <si>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</si>
  <si>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</si>
  <si>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</si>
  <si>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</si>
  <si>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</si>
  <si>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</si>
  <si>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</si>
  <si>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</si>
  <si>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</si>
  <si>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</si>
  <si>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</si>
  <si>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</si>
  <si>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</si>
  <si>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</si>
  <si>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</si>
  <si>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</si>
  <si>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</si>
  <si>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</si>
  <si>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</si>
  <si>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</si>
  <si>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</si>
  <si>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</si>
  <si>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</si>
  <si>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Paid by Cash </t>
  </si>
  <si>
    <t xml:space="preserve">Deposited in Cash </t>
  </si>
  <si>
    <t>BY INST 982316 : MICR CLG (CTS)</t>
  </si>
  <si>
    <t>BY INST 417905 : MICR CLG (CTS)</t>
  </si>
  <si>
    <t>Malavika Appartment</t>
  </si>
  <si>
    <t>1/2  1st cross street</t>
  </si>
  <si>
    <t>1st cross street</t>
  </si>
  <si>
    <t>SMS Charges for APR 25</t>
  </si>
  <si>
    <t>Expense/Transfer to FD</t>
  </si>
  <si>
    <t>Short because 1L trf to FD</t>
  </si>
  <si>
    <t>Rs.2500 Credited to A/c ...9066 thru UPI/515118198569 by 9940013927_ptsb. Total Bal:Rs.115409.22CR. Avlbl Amt:Rs.115409.22(31-05-2025 14:37:20) - Bank of Baroda</t>
  </si>
  <si>
    <t>IMPS/P2A/515714245099/EETHAMMA COLONY/SCRA ASSOCI</t>
  </si>
  <si>
    <t>To Be identified</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</si>
  <si>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</si>
  <si>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</si>
  <si>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</si>
  <si>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</si>
  <si>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</si>
  <si>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</si>
  <si>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</si>
  <si>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</si>
  <si>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</si>
  <si>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</si>
  <si>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</si>
  <si>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</si>
  <si>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</si>
  <si>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</si>
  <si>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</si>
  <si>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</si>
  <si>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</si>
  <si>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</si>
  <si>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</si>
  <si>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</si>
  <si>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</si>
  <si>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</si>
  <si>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</si>
  <si>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</si>
  <si>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</si>
  <si>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UPI/481409547691/14:57:13/UPI/9840093232@ybl/Paym</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</si>
  <si>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</si>
  <si>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</si>
  <si>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</si>
  <si>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</si>
  <si>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</si>
  <si>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</si>
  <si>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</si>
  <si>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BY INST 657657 : MICR CLG (CTS)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</si>
  <si>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</si>
  <si>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</si>
  <si>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</si>
  <si>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</si>
  <si>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</si>
  <si>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</si>
  <si>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</si>
  <si>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</si>
  <si>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</si>
  <si>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</si>
  <si>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</si>
  <si>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</si>
  <si>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</si>
  <si>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</si>
  <si>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Individual Apartment 1B
Individual Apartment 2B
Rathna Apts 2nd Main</t>
  </si>
  <si>
    <t>S.Daniel</t>
  </si>
  <si>
    <t>2 Individual Apartment, Rathna Apartment, 2nd Main Road</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</si>
  <si>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</si>
  <si>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</si>
  <si>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</si>
  <si>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</si>
  <si>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</si>
  <si>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</si>
  <si>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</si>
  <si>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</si>
  <si>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</si>
  <si>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</si>
  <si>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</si>
  <si>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</si>
  <si>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</si>
  <si>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</si>
  <si>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</si>
  <si>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</si>
  <si>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</si>
  <si>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</si>
  <si>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</si>
  <si>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</si>
  <si>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</si>
  <si>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</si>
  <si>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</si>
  <si>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</si>
  <si>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</si>
  <si>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</si>
  <si>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</si>
  <si>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</si>
  <si>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</si>
  <si>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</si>
  <si>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</si>
  <si>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</si>
  <si>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</si>
  <si>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</si>
  <si>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</si>
  <si>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</si>
  <si>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</si>
  <si>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</si>
  <si>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</si>
  <si>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</si>
  <si>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</si>
  <si>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</si>
  <si>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</si>
  <si>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Familly Gettogether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</si>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</sst>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68"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s>
  <fills count="83">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s>
  <borders count="54">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14">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19" borderId="0" xfId="0" applyFill="1" applyBorder="1"/>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0" fillId="19" borderId="0" xfId="0" applyFill="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DD81EF"/>
      <color rgb="FF78E3F8"/>
      <color rgb="FF40F6B9"/>
      <color rgb="FFF05ADB"/>
      <color rgb="FF2CF294"/>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595</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596</v>
      </c>
      <c r="C24" s="240" t="s">
        <v>208</v>
      </c>
      <c r="D24" s="240" t="s">
        <v>209</v>
      </c>
      <c r="E24" s="241">
        <v>5</v>
      </c>
      <c r="F24" s="242">
        <v>45131</v>
      </c>
      <c r="G24" s="240" t="s">
        <v>211</v>
      </c>
      <c r="H24" s="243" t="s">
        <v>597</v>
      </c>
      <c r="I24" s="237"/>
    </row>
    <row r="25" spans="1:9" ht="29.25" thickBot="1" x14ac:dyDescent="0.3">
      <c r="A25" s="516"/>
      <c r="B25" s="244"/>
      <c r="C25" s="244"/>
      <c r="D25" s="244"/>
      <c r="E25" s="245"/>
      <c r="F25" s="244"/>
      <c r="G25" s="244"/>
      <c r="H25" s="243" t="s">
        <v>600</v>
      </c>
      <c r="I25" s="238"/>
    </row>
    <row r="26" spans="1:9" x14ac:dyDescent="0.25">
      <c r="A26" s="512">
        <v>75240300001454</v>
      </c>
      <c r="B26" s="240" t="s">
        <v>596</v>
      </c>
      <c r="C26" s="240" t="s">
        <v>208</v>
      </c>
      <c r="D26" s="240" t="s">
        <v>209</v>
      </c>
      <c r="E26" s="241">
        <v>5</v>
      </c>
      <c r="F26" s="242">
        <v>45131</v>
      </c>
      <c r="G26" s="240" t="s">
        <v>211</v>
      </c>
      <c r="H26" s="243" t="s">
        <v>597</v>
      </c>
      <c r="I26" s="237"/>
    </row>
    <row r="27" spans="1:9" ht="29.25" thickBot="1" x14ac:dyDescent="0.3">
      <c r="A27" s="516"/>
      <c r="B27" s="244"/>
      <c r="C27" s="244"/>
      <c r="D27" s="244"/>
      <c r="E27" s="245"/>
      <c r="F27" s="244"/>
      <c r="G27" s="244"/>
      <c r="H27" s="243" t="s">
        <v>600</v>
      </c>
      <c r="I27" s="238"/>
    </row>
    <row r="28" spans="1:9" x14ac:dyDescent="0.25">
      <c r="A28" s="512">
        <v>75240300003911</v>
      </c>
      <c r="B28" s="240" t="s">
        <v>596</v>
      </c>
      <c r="C28" s="240" t="s">
        <v>208</v>
      </c>
      <c r="D28" s="240" t="s">
        <v>209</v>
      </c>
      <c r="E28" s="241">
        <v>6.75</v>
      </c>
      <c r="F28" s="242">
        <v>45339</v>
      </c>
      <c r="G28" s="240" t="s">
        <v>211</v>
      </c>
      <c r="H28" s="243" t="s">
        <v>598</v>
      </c>
      <c r="I28" s="237"/>
    </row>
    <row r="29" spans="1:9" ht="29.25" thickBot="1" x14ac:dyDescent="0.3">
      <c r="A29" s="516"/>
      <c r="B29" s="244"/>
      <c r="C29" s="244"/>
      <c r="D29" s="244"/>
      <c r="E29" s="245"/>
      <c r="F29" s="244"/>
      <c r="G29" s="244"/>
      <c r="H29" s="243" t="s">
        <v>601</v>
      </c>
      <c r="I29" s="238"/>
    </row>
    <row r="30" spans="1:9" x14ac:dyDescent="0.25">
      <c r="A30" s="512">
        <v>75240300005052</v>
      </c>
      <c r="B30" s="240" t="s">
        <v>596</v>
      </c>
      <c r="C30" s="240" t="s">
        <v>208</v>
      </c>
      <c r="D30" s="240" t="s">
        <v>209</v>
      </c>
      <c r="E30" s="241">
        <v>5.5</v>
      </c>
      <c r="F30" s="242">
        <v>45197</v>
      </c>
      <c r="G30" s="240" t="s">
        <v>211</v>
      </c>
      <c r="H30" s="243" t="s">
        <v>599</v>
      </c>
      <c r="I30" s="237"/>
    </row>
    <row r="31" spans="1:9" ht="28.5" x14ac:dyDescent="0.25">
      <c r="A31" s="516"/>
      <c r="B31" s="244"/>
      <c r="C31" s="244"/>
      <c r="D31" s="244"/>
      <c r="E31" s="245"/>
      <c r="F31" s="244"/>
      <c r="G31" s="244"/>
      <c r="H31" s="243" t="s">
        <v>602</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616</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1260</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596</v>
      </c>
      <c r="C48" s="492" t="s">
        <v>208</v>
      </c>
      <c r="D48" s="492" t="s">
        <v>209</v>
      </c>
      <c r="E48" s="493">
        <v>6.85</v>
      </c>
      <c r="F48" s="494">
        <v>45862</v>
      </c>
      <c r="G48" s="492" t="s">
        <v>211</v>
      </c>
      <c r="H48" s="495" t="s">
        <v>1261</v>
      </c>
      <c r="I48" s="237"/>
    </row>
    <row r="49" spans="1:9" ht="29.25" thickBot="1" x14ac:dyDescent="0.3">
      <c r="A49" s="496"/>
      <c r="B49" s="497"/>
      <c r="C49" s="497"/>
      <c r="D49" s="497"/>
      <c r="E49" s="498"/>
      <c r="F49" s="497"/>
      <c r="G49" s="497"/>
      <c r="H49" s="499" t="s">
        <v>1264</v>
      </c>
      <c r="I49" s="238"/>
    </row>
    <row r="50" spans="1:9" x14ac:dyDescent="0.25">
      <c r="A50" s="98">
        <v>75240300001454</v>
      </c>
      <c r="B50" s="492" t="s">
        <v>596</v>
      </c>
      <c r="C50" s="492" t="s">
        <v>208</v>
      </c>
      <c r="D50" s="492" t="s">
        <v>209</v>
      </c>
      <c r="E50" s="493">
        <v>6.85</v>
      </c>
      <c r="F50" s="494">
        <v>45862</v>
      </c>
      <c r="G50" s="492" t="s">
        <v>211</v>
      </c>
      <c r="H50" s="495" t="s">
        <v>1261</v>
      </c>
      <c r="I50" s="237"/>
    </row>
    <row r="51" spans="1:9" ht="29.25" thickBot="1" x14ac:dyDescent="0.3">
      <c r="A51" s="496"/>
      <c r="B51" s="497"/>
      <c r="C51" s="497"/>
      <c r="D51" s="497"/>
      <c r="E51" s="498"/>
      <c r="F51" s="497"/>
      <c r="G51" s="497"/>
      <c r="H51" s="499" t="s">
        <v>1264</v>
      </c>
      <c r="I51" s="238"/>
    </row>
    <row r="52" spans="1:9" x14ac:dyDescent="0.25">
      <c r="A52" s="98">
        <v>75240300003911</v>
      </c>
      <c r="B52" s="492" t="s">
        <v>596</v>
      </c>
      <c r="C52" s="492" t="s">
        <v>208</v>
      </c>
      <c r="D52" s="492" t="s">
        <v>209</v>
      </c>
      <c r="E52" s="493">
        <v>6.85</v>
      </c>
      <c r="F52" s="494">
        <v>46070</v>
      </c>
      <c r="G52" s="492" t="s">
        <v>211</v>
      </c>
      <c r="H52" s="495" t="s">
        <v>1262</v>
      </c>
      <c r="I52" s="237"/>
    </row>
    <row r="53" spans="1:9" ht="28.5" x14ac:dyDescent="0.25">
      <c r="A53" s="496"/>
      <c r="B53" s="497"/>
      <c r="C53" s="497"/>
      <c r="D53" s="497"/>
      <c r="E53" s="498"/>
      <c r="F53" s="497"/>
      <c r="G53" s="497"/>
      <c r="H53" s="499" t="s">
        <v>1265</v>
      </c>
      <c r="I53" s="238"/>
    </row>
    <row r="54" spans="1:9" x14ac:dyDescent="0.25">
      <c r="A54" s="98">
        <v>75240300005052</v>
      </c>
      <c r="B54" s="500" t="s">
        <v>596</v>
      </c>
      <c r="C54" s="500" t="s">
        <v>208</v>
      </c>
      <c r="D54" s="500" t="s">
        <v>209</v>
      </c>
      <c r="E54" s="501">
        <v>6.85</v>
      </c>
      <c r="F54" s="502">
        <v>45928</v>
      </c>
      <c r="G54" s="500" t="s">
        <v>211</v>
      </c>
      <c r="H54" s="503" t="s">
        <v>1263</v>
      </c>
      <c r="I54" s="504"/>
    </row>
    <row r="55" spans="1:9" ht="28.5" x14ac:dyDescent="0.25">
      <c r="A55" s="505"/>
      <c r="B55" s="506"/>
      <c r="C55" s="506"/>
      <c r="D55" s="506"/>
      <c r="E55" s="507"/>
      <c r="F55" s="506"/>
      <c r="G55" s="506"/>
      <c r="H55" s="508" t="s">
        <v>1266</v>
      </c>
      <c r="I55" s="509"/>
    </row>
    <row r="57" spans="1:9" ht="15.75" thickBot="1" x14ac:dyDescent="0.3"/>
    <row r="58" spans="1:9" ht="15.75" thickBot="1" x14ac:dyDescent="0.3">
      <c r="A58" s="517">
        <v>45741</v>
      </c>
      <c r="B58" s="98" t="s">
        <v>1269</v>
      </c>
      <c r="C58" s="521">
        <v>7846</v>
      </c>
      <c r="D58" s="518">
        <v>233861</v>
      </c>
    </row>
    <row r="59" spans="1:9" ht="15.75" thickBot="1" x14ac:dyDescent="0.3">
      <c r="A59" s="517">
        <v>45721</v>
      </c>
      <c r="B59" s="98" t="s">
        <v>1270</v>
      </c>
      <c r="C59" s="521">
        <v>1603</v>
      </c>
      <c r="D59" s="518">
        <v>190821</v>
      </c>
      <c r="H59" s="521" t="s">
        <v>1273</v>
      </c>
    </row>
    <row r="60" spans="1:9" ht="15.75" thickBot="1" x14ac:dyDescent="0.3">
      <c r="A60" s="517">
        <v>45705</v>
      </c>
      <c r="B60" s="98" t="s">
        <v>1271</v>
      </c>
      <c r="C60" s="521">
        <v>4786</v>
      </c>
      <c r="D60" s="518">
        <v>189218</v>
      </c>
      <c r="H60" s="521" t="s">
        <v>1274</v>
      </c>
    </row>
    <row r="61" spans="1:9" x14ac:dyDescent="0.25">
      <c r="A61" s="519">
        <v>45741</v>
      </c>
      <c r="B61" s="98" t="s">
        <v>1268</v>
      </c>
      <c r="C61" s="522">
        <v>2581</v>
      </c>
      <c r="D61" s="520">
        <v>76997</v>
      </c>
      <c r="H61" s="521" t="s">
        <v>1275</v>
      </c>
    </row>
    <row r="62" spans="1:9" x14ac:dyDescent="0.25">
      <c r="A62" s="519">
        <v>45741</v>
      </c>
      <c r="B62" s="98" t="s">
        <v>1267</v>
      </c>
      <c r="C62" s="522">
        <v>25581</v>
      </c>
      <c r="D62" s="520">
        <v>76997</v>
      </c>
      <c r="H62" s="522" t="s">
        <v>1276</v>
      </c>
    </row>
    <row r="63" spans="1:9" x14ac:dyDescent="0.25">
      <c r="H63" s="522" t="s">
        <v>1276</v>
      </c>
    </row>
    <row r="65" spans="2:8" x14ac:dyDescent="0.25">
      <c r="B65" t="s">
        <v>1272</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62"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603</v>
      </c>
    </row>
    <row r="2" spans="1:1023" x14ac:dyDescent="0.25">
      <c r="A2" s="6"/>
      <c r="B2" s="21"/>
      <c r="C2" s="7"/>
      <c r="D2" s="7"/>
      <c r="E2" s="6"/>
      <c r="F2" s="597" t="s">
        <v>1</v>
      </c>
      <c r="G2" s="597"/>
      <c r="H2" s="597"/>
      <c r="I2" s="597"/>
      <c r="J2" s="598" t="s">
        <v>2</v>
      </c>
      <c r="K2" s="598"/>
      <c r="L2" s="598"/>
      <c r="M2" s="598"/>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604</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604</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604</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604</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604</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604</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605</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604</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604</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604</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604</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604</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605</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604</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604</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604</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604</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604</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604</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605</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604</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604</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604</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604</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605</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605</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604</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604</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604</v>
      </c>
    </row>
    <row r="36" spans="1:15" ht="30" x14ac:dyDescent="0.25">
      <c r="A36" s="11">
        <f t="shared" si="1"/>
        <v>30</v>
      </c>
      <c r="B36" s="21">
        <v>44309</v>
      </c>
      <c r="C36" s="7" t="s">
        <v>81</v>
      </c>
      <c r="D36" s="7" t="s">
        <v>693</v>
      </c>
      <c r="E36" s="6">
        <v>2129</v>
      </c>
      <c r="F36" s="8">
        <v>7500</v>
      </c>
      <c r="G36" s="8"/>
      <c r="H36" s="76">
        <f t="shared" si="0"/>
        <v>7500</v>
      </c>
      <c r="I36" s="8"/>
      <c r="J36" s="9"/>
      <c r="K36" s="10"/>
      <c r="L36" s="10"/>
      <c r="M36" s="10"/>
      <c r="N36" s="246" t="s">
        <v>82</v>
      </c>
      <c r="O36" s="34" t="s">
        <v>605</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605</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604</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604</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604</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604</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604</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604</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604</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605</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604</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604</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604</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605</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604</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604</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604</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604</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604</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605</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605</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604</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604</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604</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605</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604</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604</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604</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606</v>
      </c>
      <c r="G103" s="255"/>
      <c r="H103" s="256">
        <f>COUNTIF(O:O,"H")</f>
        <v>45</v>
      </c>
    </row>
    <row r="104" spans="1:15" x14ac:dyDescent="0.25">
      <c r="F104" s="255" t="s">
        <v>607</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06" activePane="bottomLeft" state="frozen"/>
      <selection pane="bottomLeft" activeCell="L110" sqref="L110"/>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597" t="s">
        <v>1</v>
      </c>
      <c r="G2" s="597"/>
      <c r="H2" s="597"/>
      <c r="I2" s="597"/>
      <c r="J2" s="598" t="s">
        <v>2</v>
      </c>
      <c r="K2" s="598"/>
      <c r="L2" s="598"/>
      <c r="M2" s="598"/>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603</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604</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604</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604</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604</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604</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604</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604</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605</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604</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604</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604</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605</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604</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605</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604</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604</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604</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605</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604</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604</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604</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604</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604</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667</v>
      </c>
      <c r="E31" s="34">
        <v>224</v>
      </c>
      <c r="F31" s="37">
        <v>10000</v>
      </c>
      <c r="G31" s="37"/>
      <c r="H31" s="86">
        <f t="shared" si="1"/>
        <v>412149.53999999986</v>
      </c>
      <c r="I31" s="37"/>
      <c r="J31" s="38"/>
      <c r="K31" s="39"/>
      <c r="L31" s="39"/>
      <c r="M31" s="39"/>
      <c r="N31" s="181" t="s">
        <v>310</v>
      </c>
      <c r="O31" s="34" t="s">
        <v>605</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604</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604</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605</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604</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604</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605</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604</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604</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605</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694</v>
      </c>
      <c r="E42" s="34">
        <v>233</v>
      </c>
      <c r="F42" s="37">
        <v>7500</v>
      </c>
      <c r="G42" s="37"/>
      <c r="H42" s="86">
        <f t="shared" si="2"/>
        <v>451888.53999999986</v>
      </c>
      <c r="I42" s="37"/>
      <c r="J42" s="38"/>
      <c r="K42" s="39"/>
      <c r="L42" s="39"/>
      <c r="M42" s="39"/>
      <c r="N42" s="181" t="s">
        <v>334</v>
      </c>
      <c r="O42" s="34" t="s">
        <v>605</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605</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605</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604</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671</v>
      </c>
      <c r="E48" s="34">
        <v>239</v>
      </c>
      <c r="F48" s="37">
        <v>2500</v>
      </c>
      <c r="G48" s="37"/>
      <c r="H48" s="86">
        <f>H47+F48</f>
        <v>474360.80999999982</v>
      </c>
      <c r="I48" s="37"/>
      <c r="J48" s="38"/>
      <c r="K48" s="39"/>
      <c r="L48" s="39"/>
      <c r="M48" s="39"/>
      <c r="N48" s="181" t="s">
        <v>347</v>
      </c>
      <c r="O48" s="34" t="s">
        <v>604</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605</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604</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605</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604</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604</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604</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604</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604</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605</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605</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604</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605</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605</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604</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604</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604</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605</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604</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604</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604</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604</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590</v>
      </c>
      <c r="E104" s="34">
        <v>269</v>
      </c>
      <c r="F104" s="37">
        <v>2500</v>
      </c>
      <c r="G104" s="37"/>
      <c r="H104" s="86">
        <f>H103+F104</f>
        <v>132599.40999999986</v>
      </c>
      <c r="I104" s="37"/>
      <c r="J104" s="38"/>
      <c r="K104" s="39"/>
      <c r="L104" s="39"/>
      <c r="M104" s="39"/>
      <c r="N104" s="181" t="s">
        <v>589</v>
      </c>
      <c r="O104" s="34" t="s">
        <v>604</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672</v>
      </c>
      <c r="O107" s="34" t="s">
        <v>605</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608</v>
      </c>
      <c r="I123" s="92"/>
      <c r="J123" s="92">
        <f>COUNTIF(O:O,"H")</f>
        <v>42</v>
      </c>
    </row>
    <row r="124" spans="1:1023" x14ac:dyDescent="0.25">
      <c r="H124" s="92" t="s">
        <v>609</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Views>
    <sheetView topLeftCell="A10"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613</v>
      </c>
      <c r="C10" s="93">
        <v>3000</v>
      </c>
      <c r="D10" s="264">
        <v>44942</v>
      </c>
      <c r="E10" s="92" t="s">
        <v>612</v>
      </c>
    </row>
    <row r="11" spans="1:5" x14ac:dyDescent="0.25">
      <c r="A11" s="156">
        <v>6</v>
      </c>
      <c r="B11" s="157" t="s">
        <v>470</v>
      </c>
      <c r="C11" s="93">
        <v>1110</v>
      </c>
      <c r="D11" s="264">
        <v>44942</v>
      </c>
      <c r="E11" s="92" t="s">
        <v>611</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610</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614</v>
      </c>
    </row>
    <row r="9" spans="1:4" ht="45" x14ac:dyDescent="0.25">
      <c r="A9" s="166">
        <v>5</v>
      </c>
      <c r="B9" s="167" t="s">
        <v>486</v>
      </c>
      <c r="C9" s="168">
        <v>4987</v>
      </c>
      <c r="D9" s="267" t="s">
        <v>615</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30" activePane="bottomRight" state="frozen"/>
      <selection pane="topRight" activeCell="D1" sqref="D1"/>
      <selection pane="bottomLeft" activeCell="A6" sqref="A6"/>
      <selection pane="bottomRight" activeCell="C40" sqref="A1:XFD1048576"/>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597" t="s">
        <v>1</v>
      </c>
      <c r="G2" s="597"/>
      <c r="H2" s="597"/>
      <c r="I2" s="597"/>
      <c r="J2" s="599" t="s">
        <v>804</v>
      </c>
      <c r="K2" s="600"/>
      <c r="L2" s="388"/>
      <c r="M2" s="246"/>
      <c r="N2" s="34" t="s">
        <v>849</v>
      </c>
      <c r="O2" s="34" t="s">
        <v>850</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729</v>
      </c>
      <c r="I3" s="118" t="s">
        <v>11</v>
      </c>
      <c r="J3" s="121" t="s">
        <v>10</v>
      </c>
      <c r="K3" s="121" t="s">
        <v>11</v>
      </c>
      <c r="L3" s="389" t="s">
        <v>995</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583</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585</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534</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860</v>
      </c>
      <c r="D7" s="36" t="s">
        <v>591</v>
      </c>
      <c r="E7" s="34">
        <v>271</v>
      </c>
      <c r="F7" s="37">
        <v>2500</v>
      </c>
      <c r="G7" s="37"/>
      <c r="H7" s="86">
        <f t="shared" si="0"/>
        <v>136366.56999999986</v>
      </c>
      <c r="I7" s="37"/>
      <c r="J7" s="39"/>
      <c r="K7" s="39"/>
      <c r="L7" s="391">
        <f t="shared" ref="L7:L70" si="2">L6+I7-K7</f>
        <v>11903</v>
      </c>
      <c r="M7" s="181" t="s">
        <v>535</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861</v>
      </c>
      <c r="D8" s="36" t="s">
        <v>29</v>
      </c>
      <c r="E8" s="34">
        <v>272</v>
      </c>
      <c r="F8" s="37">
        <v>2500</v>
      </c>
      <c r="G8" s="37"/>
      <c r="H8" s="86">
        <f t="shared" si="0"/>
        <v>138866.56999999986</v>
      </c>
      <c r="I8" s="37"/>
      <c r="J8" s="39"/>
      <c r="K8" s="39"/>
      <c r="L8" s="391">
        <f t="shared" si="2"/>
        <v>11903</v>
      </c>
      <c r="M8" s="181" t="s">
        <v>536</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538</v>
      </c>
      <c r="D9" s="36" t="s">
        <v>584</v>
      </c>
      <c r="E9" s="34">
        <v>273</v>
      </c>
      <c r="F9" s="37">
        <v>1500</v>
      </c>
      <c r="G9" s="37"/>
      <c r="H9" s="86">
        <f t="shared" si="0"/>
        <v>140366.56999999986</v>
      </c>
      <c r="I9" s="37"/>
      <c r="J9" s="39"/>
      <c r="K9" s="39"/>
      <c r="L9" s="391">
        <f t="shared" si="2"/>
        <v>11903</v>
      </c>
      <c r="M9" s="181" t="s">
        <v>537</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540</v>
      </c>
      <c r="D10" s="36" t="s">
        <v>541</v>
      </c>
      <c r="E10" s="34">
        <v>274</v>
      </c>
      <c r="F10" s="37">
        <v>1500</v>
      </c>
      <c r="G10" s="37"/>
      <c r="H10" s="86">
        <f t="shared" si="0"/>
        <v>141866.56999999986</v>
      </c>
      <c r="I10" s="37"/>
      <c r="J10" s="39"/>
      <c r="K10" s="39"/>
      <c r="L10" s="391">
        <f t="shared" si="2"/>
        <v>11903</v>
      </c>
      <c r="M10" s="181" t="s">
        <v>539</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691</v>
      </c>
      <c r="E11" s="34">
        <v>275</v>
      </c>
      <c r="F11" s="37">
        <v>2500</v>
      </c>
      <c r="G11" s="37"/>
      <c r="H11" s="86">
        <f t="shared" si="0"/>
        <v>144366.56999999986</v>
      </c>
      <c r="I11" s="37"/>
      <c r="J11" s="39"/>
      <c r="K11" s="39"/>
      <c r="L11" s="391">
        <f t="shared" si="2"/>
        <v>11903</v>
      </c>
      <c r="M11" s="181" t="s">
        <v>542</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661</v>
      </c>
      <c r="D12" s="36" t="s">
        <v>225</v>
      </c>
      <c r="E12" s="34"/>
      <c r="F12" s="37">
        <v>2500</v>
      </c>
      <c r="G12" s="37"/>
      <c r="H12" s="86">
        <f t="shared" si="0"/>
        <v>146866.56999999986</v>
      </c>
      <c r="I12" s="37"/>
      <c r="J12" s="39"/>
      <c r="K12" s="39"/>
      <c r="L12" s="391">
        <f t="shared" si="2"/>
        <v>11903</v>
      </c>
      <c r="M12" s="181" t="s">
        <v>543</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546</v>
      </c>
      <c r="D13" s="36" t="s">
        <v>545</v>
      </c>
      <c r="E13" s="34">
        <v>276</v>
      </c>
      <c r="F13" s="37">
        <v>2500</v>
      </c>
      <c r="G13" s="37"/>
      <c r="H13" s="86">
        <f t="shared" si="0"/>
        <v>149366.56999999986</v>
      </c>
      <c r="I13" s="37"/>
      <c r="J13" s="39"/>
      <c r="K13" s="39"/>
      <c r="L13" s="391">
        <f t="shared" si="2"/>
        <v>11903</v>
      </c>
      <c r="M13" s="181" t="s">
        <v>544</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549</v>
      </c>
      <c r="D14" s="36" t="s">
        <v>548</v>
      </c>
      <c r="E14" s="34">
        <v>277</v>
      </c>
      <c r="F14" s="37">
        <v>2500</v>
      </c>
      <c r="G14" s="37"/>
      <c r="H14" s="86">
        <f t="shared" si="0"/>
        <v>151866.56999999986</v>
      </c>
      <c r="I14" s="37"/>
      <c r="J14" s="39"/>
      <c r="K14" s="39"/>
      <c r="L14" s="391">
        <f t="shared" si="2"/>
        <v>11903</v>
      </c>
      <c r="M14" s="181" t="s">
        <v>547</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550</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552</v>
      </c>
      <c r="E16" s="34">
        <v>279</v>
      </c>
      <c r="F16" s="37">
        <v>2500</v>
      </c>
      <c r="G16" s="37"/>
      <c r="H16" s="86">
        <f t="shared" si="0"/>
        <v>156866.56999999986</v>
      </c>
      <c r="I16" s="37"/>
      <c r="J16" s="39"/>
      <c r="K16" s="39"/>
      <c r="L16" s="391">
        <f t="shared" si="2"/>
        <v>11903</v>
      </c>
      <c r="M16" s="181" t="s">
        <v>551</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554</v>
      </c>
      <c r="D17" s="36" t="s">
        <v>29</v>
      </c>
      <c r="E17" s="34">
        <v>280</v>
      </c>
      <c r="F17" s="37">
        <v>2500</v>
      </c>
      <c r="G17" s="37"/>
      <c r="H17" s="86">
        <f t="shared" si="0"/>
        <v>159366.56999999986</v>
      </c>
      <c r="I17" s="37"/>
      <c r="J17" s="39"/>
      <c r="K17" s="39"/>
      <c r="L17" s="391">
        <f t="shared" si="2"/>
        <v>11903</v>
      </c>
      <c r="M17" s="181" t="s">
        <v>553</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555</v>
      </c>
      <c r="D18" s="36" t="s">
        <v>557</v>
      </c>
      <c r="E18" s="34">
        <v>281</v>
      </c>
      <c r="F18" s="37">
        <v>1500</v>
      </c>
      <c r="G18" s="37"/>
      <c r="H18" s="86">
        <f t="shared" si="0"/>
        <v>160866.56999999986</v>
      </c>
      <c r="I18" s="37"/>
      <c r="J18" s="39"/>
      <c r="K18" s="39"/>
      <c r="L18" s="391">
        <f t="shared" si="2"/>
        <v>11903</v>
      </c>
      <c r="M18" s="181" t="s">
        <v>556</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559</v>
      </c>
      <c r="E19" s="34">
        <v>282</v>
      </c>
      <c r="F19" s="37">
        <v>2500</v>
      </c>
      <c r="G19" s="37"/>
      <c r="H19" s="86">
        <f t="shared" si="0"/>
        <v>163366.56999999986</v>
      </c>
      <c r="I19" s="37"/>
      <c r="J19" s="39"/>
      <c r="K19" s="39"/>
      <c r="L19" s="391">
        <f t="shared" si="2"/>
        <v>11903</v>
      </c>
      <c r="M19" s="181" t="s">
        <v>558</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560</v>
      </c>
      <c r="D20" s="36" t="s">
        <v>270</v>
      </c>
      <c r="E20" s="34">
        <v>283</v>
      </c>
      <c r="F20" s="37">
        <v>2500</v>
      </c>
      <c r="G20" s="37"/>
      <c r="H20" s="86">
        <f t="shared" si="0"/>
        <v>165866.56999999986</v>
      </c>
      <c r="I20" s="37"/>
      <c r="J20" s="39"/>
      <c r="K20" s="39"/>
      <c r="L20" s="391">
        <f t="shared" si="2"/>
        <v>11903</v>
      </c>
      <c r="M20" s="181" t="s">
        <v>561</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592</v>
      </c>
      <c r="D21" s="36" t="s">
        <v>562</v>
      </c>
      <c r="E21" s="34">
        <v>284</v>
      </c>
      <c r="F21" s="37">
        <v>2500</v>
      </c>
      <c r="G21" s="37"/>
      <c r="H21" s="86">
        <f t="shared" si="0"/>
        <v>168366.56999999986</v>
      </c>
      <c r="I21" s="37"/>
      <c r="J21" s="39"/>
      <c r="K21" s="39"/>
      <c r="L21" s="391">
        <f t="shared" si="2"/>
        <v>11903</v>
      </c>
      <c r="M21" s="181" t="s">
        <v>561</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565</v>
      </c>
      <c r="D22" s="36" t="s">
        <v>564</v>
      </c>
      <c r="E22" s="34">
        <v>285</v>
      </c>
      <c r="F22" s="37">
        <v>2500</v>
      </c>
      <c r="G22" s="37"/>
      <c r="H22" s="86">
        <f t="shared" si="0"/>
        <v>170866.56999999986</v>
      </c>
      <c r="I22" s="37"/>
      <c r="J22" s="39"/>
      <c r="K22" s="39"/>
      <c r="L22" s="391">
        <f t="shared" si="2"/>
        <v>11903</v>
      </c>
      <c r="M22" s="181" t="s">
        <v>563</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567</v>
      </c>
      <c r="D23" s="36" t="s">
        <v>566</v>
      </c>
      <c r="E23" s="34">
        <v>286</v>
      </c>
      <c r="F23" s="37">
        <v>6000</v>
      </c>
      <c r="G23" s="37"/>
      <c r="H23" s="86">
        <f t="shared" si="0"/>
        <v>176866.56999999986</v>
      </c>
      <c r="I23" s="37"/>
      <c r="J23" s="39"/>
      <c r="K23" s="39"/>
      <c r="L23" s="391">
        <f t="shared" si="2"/>
        <v>11903</v>
      </c>
      <c r="M23" s="181" t="s">
        <v>568</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570</v>
      </c>
      <c r="D24" s="36" t="s">
        <v>569</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573</v>
      </c>
      <c r="D25" s="36" t="s">
        <v>572</v>
      </c>
      <c r="E25" s="34">
        <v>288</v>
      </c>
      <c r="F25" s="37">
        <v>7500</v>
      </c>
      <c r="G25" s="37"/>
      <c r="H25" s="86">
        <f t="shared" si="0"/>
        <v>189366.56999999986</v>
      </c>
      <c r="I25" s="37"/>
      <c r="J25" s="39"/>
      <c r="K25" s="39"/>
      <c r="L25" s="391">
        <f t="shared" si="2"/>
        <v>11903</v>
      </c>
      <c r="M25" s="181" t="s">
        <v>571</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575</v>
      </c>
      <c r="D26" s="36" t="s">
        <v>593</v>
      </c>
      <c r="E26" s="34">
        <v>289</v>
      </c>
      <c r="F26" s="37">
        <v>7500</v>
      </c>
      <c r="G26" s="37"/>
      <c r="H26" s="86">
        <f t="shared" si="0"/>
        <v>196866.56999999986</v>
      </c>
      <c r="I26" s="37"/>
      <c r="J26" s="39"/>
      <c r="K26" s="39"/>
      <c r="L26" s="391">
        <f t="shared" si="2"/>
        <v>11903</v>
      </c>
      <c r="M26" s="181" t="s">
        <v>574</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693</v>
      </c>
      <c r="E27" s="34">
        <v>290</v>
      </c>
      <c r="F27" s="37">
        <v>7500</v>
      </c>
      <c r="G27" s="37"/>
      <c r="H27" s="86">
        <f t="shared" si="0"/>
        <v>204366.56999999986</v>
      </c>
      <c r="I27" s="37"/>
      <c r="J27" s="39"/>
      <c r="K27" s="39"/>
      <c r="L27" s="391">
        <f t="shared" si="2"/>
        <v>11903</v>
      </c>
      <c r="M27" s="181" t="s">
        <v>576</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577</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578</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594</v>
      </c>
      <c r="D30" s="36" t="s">
        <v>43</v>
      </c>
      <c r="E30" s="34">
        <v>293</v>
      </c>
      <c r="F30" s="37">
        <v>2500</v>
      </c>
      <c r="G30" s="37"/>
      <c r="H30" s="86">
        <f>H29+F30</f>
        <v>184058.66999999987</v>
      </c>
      <c r="I30" s="37"/>
      <c r="J30" s="39"/>
      <c r="K30" s="39"/>
      <c r="L30" s="391">
        <f t="shared" si="2"/>
        <v>11903</v>
      </c>
      <c r="M30" s="181" t="s">
        <v>579</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580</v>
      </c>
      <c r="D31" s="36" t="s">
        <v>582</v>
      </c>
      <c r="E31" s="34">
        <v>291</v>
      </c>
      <c r="F31" s="37">
        <v>2500</v>
      </c>
      <c r="G31" s="37"/>
      <c r="H31" s="86">
        <f>H30+F31</f>
        <v>186558.66999999987</v>
      </c>
      <c r="I31" s="37"/>
      <c r="J31" s="39"/>
      <c r="K31" s="39"/>
      <c r="L31" s="391">
        <f t="shared" si="2"/>
        <v>11903</v>
      </c>
      <c r="M31" s="181" t="s">
        <v>581</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586</v>
      </c>
      <c r="D32" s="36" t="s">
        <v>587</v>
      </c>
      <c r="E32" s="34">
        <v>292</v>
      </c>
      <c r="F32" s="37">
        <v>2500</v>
      </c>
      <c r="G32" s="37"/>
      <c r="H32" s="86"/>
      <c r="I32" s="37">
        <v>2500</v>
      </c>
      <c r="J32" s="39"/>
      <c r="K32" s="39"/>
      <c r="L32" s="391">
        <f t="shared" si="2"/>
        <v>14403</v>
      </c>
      <c r="M32" s="181" t="s">
        <v>588</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617</v>
      </c>
      <c r="E33" s="34">
        <v>295</v>
      </c>
      <c r="F33" s="37">
        <v>10000</v>
      </c>
      <c r="G33" s="37"/>
      <c r="H33" s="86">
        <f>H31+F33</f>
        <v>196558.66999999987</v>
      </c>
      <c r="I33" s="37"/>
      <c r="J33" s="39"/>
      <c r="K33" s="39"/>
      <c r="L33" s="391">
        <f t="shared" si="2"/>
        <v>14403</v>
      </c>
      <c r="M33" s="181" t="s">
        <v>618</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619</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620</v>
      </c>
      <c r="D35" s="36" t="s">
        <v>621</v>
      </c>
      <c r="E35" s="34">
        <v>296</v>
      </c>
      <c r="F35" s="37">
        <v>2500</v>
      </c>
      <c r="G35" s="37"/>
      <c r="H35" s="86">
        <f t="shared" ref="H35:H44" si="4">H34+F35</f>
        <v>196456.76999999987</v>
      </c>
      <c r="I35" s="37"/>
      <c r="J35" s="39"/>
      <c r="K35" s="39"/>
      <c r="L35" s="391">
        <f t="shared" si="2"/>
        <v>14403</v>
      </c>
      <c r="M35" s="181" t="s">
        <v>622</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623</v>
      </c>
      <c r="D36" s="36" t="s">
        <v>626</v>
      </c>
      <c r="E36" s="34">
        <v>297</v>
      </c>
      <c r="F36" s="37">
        <v>2500</v>
      </c>
      <c r="G36" s="37"/>
      <c r="H36" s="86">
        <f t="shared" si="4"/>
        <v>198956.76999999987</v>
      </c>
      <c r="I36" s="37"/>
      <c r="J36" s="39"/>
      <c r="K36" s="39"/>
      <c r="L36" s="391">
        <f t="shared" si="2"/>
        <v>14403</v>
      </c>
      <c r="M36" s="181" t="s">
        <v>624</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628</v>
      </c>
      <c r="D37" s="36" t="s">
        <v>629</v>
      </c>
      <c r="E37" s="34">
        <v>298</v>
      </c>
      <c r="F37" s="37">
        <v>2500</v>
      </c>
      <c r="G37" s="37"/>
      <c r="H37" s="86">
        <f t="shared" si="4"/>
        <v>201456.76999999987</v>
      </c>
      <c r="I37" s="37"/>
      <c r="J37" s="39"/>
      <c r="K37" s="39"/>
      <c r="L37" s="391">
        <f t="shared" si="2"/>
        <v>14403</v>
      </c>
      <c r="M37" s="181" t="s">
        <v>625</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668</v>
      </c>
      <c r="E38" s="34">
        <v>300</v>
      </c>
      <c r="F38" s="37">
        <v>7500</v>
      </c>
      <c r="G38" s="37"/>
      <c r="H38" s="86">
        <f t="shared" si="4"/>
        <v>208956.76999999987</v>
      </c>
      <c r="I38" s="37"/>
      <c r="J38" s="39"/>
      <c r="K38" s="39"/>
      <c r="L38" s="391">
        <f t="shared" si="2"/>
        <v>14403</v>
      </c>
      <c r="M38" s="181" t="s">
        <v>627</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631</v>
      </c>
      <c r="D39" s="36" t="s">
        <v>37</v>
      </c>
      <c r="E39" s="34">
        <v>1</v>
      </c>
      <c r="F39" s="37">
        <v>2500</v>
      </c>
      <c r="G39" s="37"/>
      <c r="H39" s="86">
        <f t="shared" si="4"/>
        <v>211456.76999999987</v>
      </c>
      <c r="I39" s="37"/>
      <c r="J39" s="39"/>
      <c r="K39" s="39"/>
      <c r="L39" s="391">
        <f t="shared" si="2"/>
        <v>14403</v>
      </c>
      <c r="M39" s="181" t="s">
        <v>630</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633</v>
      </c>
      <c r="D40" s="36" t="s">
        <v>670</v>
      </c>
      <c r="E40" s="34">
        <v>3</v>
      </c>
      <c r="F40" s="37">
        <v>15000</v>
      </c>
      <c r="G40" s="37"/>
      <c r="H40" s="86">
        <f t="shared" si="4"/>
        <v>226456.76999999987</v>
      </c>
      <c r="I40" s="37"/>
      <c r="J40" s="39"/>
      <c r="K40" s="39"/>
      <c r="L40" s="391">
        <f t="shared" si="2"/>
        <v>14403</v>
      </c>
      <c r="M40" s="181" t="s">
        <v>632</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669</v>
      </c>
      <c r="D41" s="36" t="s">
        <v>392</v>
      </c>
      <c r="E41" s="34">
        <v>4</v>
      </c>
      <c r="F41" s="305">
        <v>6000</v>
      </c>
      <c r="G41" s="37"/>
      <c r="H41" s="86">
        <f t="shared" si="4"/>
        <v>232456.76999999987</v>
      </c>
      <c r="I41" s="37"/>
      <c r="J41" s="39"/>
      <c r="K41" s="39"/>
      <c r="L41" s="391">
        <f t="shared" si="2"/>
        <v>14403</v>
      </c>
      <c r="M41" s="181" t="s">
        <v>851</v>
      </c>
      <c r="N41" s="34" t="s">
        <v>852</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853</v>
      </c>
      <c r="N42" s="34" t="s">
        <v>852</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634</v>
      </c>
      <c r="D43" s="36" t="s">
        <v>43</v>
      </c>
      <c r="E43" s="34">
        <v>6</v>
      </c>
      <c r="F43" s="50">
        <v>2500</v>
      </c>
      <c r="G43" s="37"/>
      <c r="H43" s="86">
        <f t="shared" si="4"/>
        <v>237956.76999999987</v>
      </c>
      <c r="I43" s="37"/>
      <c r="J43" s="39"/>
      <c r="K43" s="39"/>
      <c r="L43" s="391">
        <f t="shared" si="2"/>
        <v>14403</v>
      </c>
      <c r="M43" s="181" t="s">
        <v>635</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636</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638</v>
      </c>
      <c r="D45" s="36"/>
      <c r="E45" s="34"/>
      <c r="F45" s="40"/>
      <c r="G45" s="37"/>
      <c r="H45" s="86">
        <f>H44-J45</f>
        <v>220980.86999999988</v>
      </c>
      <c r="I45" s="37"/>
      <c r="J45" s="304">
        <v>19475.900000000001</v>
      </c>
      <c r="K45" s="39"/>
      <c r="L45" s="391">
        <f t="shared" si="2"/>
        <v>14403</v>
      </c>
      <c r="M45" s="181" t="s">
        <v>637</v>
      </c>
      <c r="N45" s="34" t="s">
        <v>852</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639</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640</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641</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642</v>
      </c>
      <c r="D49" s="36" t="s">
        <v>644</v>
      </c>
      <c r="E49" s="34">
        <v>8</v>
      </c>
      <c r="F49" s="50">
        <v>7500</v>
      </c>
      <c r="G49" s="37"/>
      <c r="H49" s="86">
        <f>H48+F49</f>
        <v>164433.54999999987</v>
      </c>
      <c r="I49" s="37"/>
      <c r="J49" s="39"/>
      <c r="K49" s="39"/>
      <c r="L49" s="391">
        <f t="shared" si="2"/>
        <v>14403</v>
      </c>
      <c r="M49" s="181" t="s">
        <v>643</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645</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647</v>
      </c>
      <c r="D51" s="36" t="s">
        <v>648</v>
      </c>
      <c r="E51" s="34">
        <v>9</v>
      </c>
      <c r="F51" s="50">
        <v>10000</v>
      </c>
      <c r="G51" s="37"/>
      <c r="H51" s="86">
        <f>H50+F51</f>
        <v>174433.30999999988</v>
      </c>
      <c r="I51" s="37"/>
      <c r="J51" s="39"/>
      <c r="K51" s="39"/>
      <c r="L51" s="391">
        <f t="shared" si="2"/>
        <v>14403</v>
      </c>
      <c r="M51" s="181" t="s">
        <v>646</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649</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650</v>
      </c>
      <c r="D53" s="36" t="s">
        <v>659</v>
      </c>
      <c r="E53" s="34">
        <v>11</v>
      </c>
      <c r="F53" s="305">
        <v>2000</v>
      </c>
      <c r="G53" s="37"/>
      <c r="H53" s="86">
        <f>H52+F53</f>
        <v>178933.30999999988</v>
      </c>
      <c r="I53" s="37"/>
      <c r="J53" s="39"/>
      <c r="K53" s="39"/>
      <c r="L53" s="391">
        <f t="shared" si="2"/>
        <v>14403</v>
      </c>
      <c r="M53" s="181" t="s">
        <v>660</v>
      </c>
      <c r="N53" s="34" t="s">
        <v>852</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651</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658</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653</v>
      </c>
      <c r="D56" s="36" t="s">
        <v>654</v>
      </c>
      <c r="E56" s="34">
        <v>11</v>
      </c>
      <c r="F56" s="50">
        <v>7500</v>
      </c>
      <c r="G56" s="37"/>
      <c r="H56" s="86">
        <f>H55+F56</f>
        <v>170497.1699999999</v>
      </c>
      <c r="I56" s="37"/>
      <c r="J56" s="39"/>
      <c r="K56" s="39"/>
      <c r="L56" s="391">
        <f t="shared" si="2"/>
        <v>14403</v>
      </c>
      <c r="M56" s="181" t="s">
        <v>652</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655</v>
      </c>
      <c r="E57" s="34">
        <v>12</v>
      </c>
      <c r="F57" s="50">
        <v>2500</v>
      </c>
      <c r="G57" s="37"/>
      <c r="H57" s="86">
        <f>H56+F57</f>
        <v>172997.1699999999</v>
      </c>
      <c r="I57" s="37"/>
      <c r="J57" s="39"/>
      <c r="K57" s="39"/>
      <c r="L57" s="391">
        <f t="shared" si="2"/>
        <v>14403</v>
      </c>
      <c r="M57" s="181" t="s">
        <v>656</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657</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662</v>
      </c>
      <c r="D59" s="36" t="s">
        <v>663</v>
      </c>
      <c r="E59" s="34">
        <v>14</v>
      </c>
      <c r="F59" s="50">
        <v>7500</v>
      </c>
      <c r="G59" s="37"/>
      <c r="H59" s="86">
        <f>H58+F59</f>
        <v>182997.1699999999</v>
      </c>
      <c r="I59" s="37"/>
      <c r="J59" s="39"/>
      <c r="K59" s="39"/>
      <c r="L59" s="391">
        <f t="shared" si="2"/>
        <v>14403</v>
      </c>
      <c r="M59" s="181" t="s">
        <v>664</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665</v>
      </c>
      <c r="D61" s="36" t="s">
        <v>37</v>
      </c>
      <c r="E61" s="34">
        <v>16</v>
      </c>
      <c r="F61" s="50">
        <v>2500</v>
      </c>
      <c r="G61" s="37"/>
      <c r="H61" s="86">
        <f>H59+F61</f>
        <v>185497.1699999999</v>
      </c>
      <c r="I61" s="37"/>
      <c r="J61" s="39"/>
      <c r="K61" s="39"/>
      <c r="L61" s="391">
        <f t="shared" si="2"/>
        <v>14403</v>
      </c>
      <c r="M61" s="181" t="s">
        <v>666</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673</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687</v>
      </c>
      <c r="D63" s="36" t="s">
        <v>688</v>
      </c>
      <c r="E63" s="34">
        <v>17</v>
      </c>
      <c r="F63" s="50">
        <v>2500</v>
      </c>
      <c r="G63" s="37"/>
      <c r="H63" s="86">
        <f>H62+F63</f>
        <v>187996.92999999991</v>
      </c>
      <c r="I63" s="37"/>
      <c r="J63" s="39"/>
      <c r="K63" s="39"/>
      <c r="L63" s="391">
        <f t="shared" si="2"/>
        <v>14403</v>
      </c>
      <c r="M63" s="181" t="s">
        <v>689</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681</v>
      </c>
      <c r="E64" s="34">
        <v>18</v>
      </c>
      <c r="F64" s="50">
        <v>2500</v>
      </c>
      <c r="G64" s="37"/>
      <c r="H64" s="86">
        <f>H63+F64</f>
        <v>190496.92999999991</v>
      </c>
      <c r="I64" s="37"/>
      <c r="J64" s="39"/>
      <c r="K64" s="39"/>
      <c r="L64" s="391">
        <f t="shared" si="2"/>
        <v>14403</v>
      </c>
      <c r="M64" s="181" t="s">
        <v>682</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690</v>
      </c>
      <c r="D65" s="36" t="s">
        <v>685</v>
      </c>
      <c r="E65" s="34">
        <v>19</v>
      </c>
      <c r="F65" s="50">
        <v>1500</v>
      </c>
      <c r="G65" s="37"/>
      <c r="H65" s="86">
        <f>H64+F65</f>
        <v>191996.92999999991</v>
      </c>
      <c r="I65" s="37"/>
      <c r="J65" s="39"/>
      <c r="K65" s="39"/>
      <c r="L65" s="391">
        <f t="shared" si="2"/>
        <v>14403</v>
      </c>
      <c r="M65" s="181" t="s">
        <v>686</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679</v>
      </c>
      <c r="D66" s="36" t="s">
        <v>680</v>
      </c>
      <c r="E66" s="34">
        <v>15</v>
      </c>
      <c r="F66" s="50">
        <v>10000</v>
      </c>
      <c r="G66" s="37"/>
      <c r="H66" s="86">
        <f>H65+F66</f>
        <v>201996.92999999991</v>
      </c>
      <c r="I66" s="37"/>
      <c r="J66" s="39"/>
      <c r="K66" s="39"/>
      <c r="L66" s="391">
        <f t="shared" si="2"/>
        <v>14403</v>
      </c>
      <c r="M66" s="181" t="s">
        <v>684</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678</v>
      </c>
      <c r="D67" s="36" t="s">
        <v>692</v>
      </c>
      <c r="E67" s="34">
        <v>20</v>
      </c>
      <c r="F67" s="50">
        <v>15000</v>
      </c>
      <c r="G67" s="37"/>
      <c r="H67" s="86">
        <f>H66+F67</f>
        <v>216996.92999999991</v>
      </c>
      <c r="I67" s="37"/>
      <c r="J67" s="39"/>
      <c r="K67" s="39"/>
      <c r="L67" s="391">
        <f t="shared" si="2"/>
        <v>14403</v>
      </c>
      <c r="M67" s="181" t="s">
        <v>683</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674</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675</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676</v>
      </c>
      <c r="D70" s="36"/>
      <c r="E70" s="34"/>
      <c r="F70" s="50"/>
      <c r="G70" s="37"/>
      <c r="H70" s="86"/>
      <c r="I70" s="37"/>
      <c r="J70" s="39"/>
      <c r="K70" s="328">
        <v>1000</v>
      </c>
      <c r="L70" s="391">
        <f t="shared" si="2"/>
        <v>13403</v>
      </c>
      <c r="M70" s="181" t="s">
        <v>677</v>
      </c>
      <c r="N70" s="34" t="s">
        <v>859</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552</v>
      </c>
      <c r="E71" s="34"/>
      <c r="F71" s="329">
        <v>1000</v>
      </c>
      <c r="G71" s="37"/>
      <c r="H71" s="86">
        <f>H69+F71</f>
        <v>217049.7399999999</v>
      </c>
      <c r="I71" s="37"/>
      <c r="J71" s="39"/>
      <c r="K71" s="39"/>
      <c r="L71" s="391">
        <f t="shared" ref="L71:L130" si="7">L70+I71-K71</f>
        <v>13403</v>
      </c>
      <c r="M71" s="181" t="s">
        <v>695</v>
      </c>
      <c r="N71" s="34" t="s">
        <v>859</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696</v>
      </c>
      <c r="D73" s="36" t="s">
        <v>378</v>
      </c>
      <c r="E73" s="34">
        <v>21</v>
      </c>
      <c r="F73" s="50">
        <v>2500</v>
      </c>
      <c r="G73" s="37"/>
      <c r="H73" s="86">
        <f>H72+F73</f>
        <v>220889.7399999999</v>
      </c>
      <c r="I73" s="37"/>
      <c r="J73" s="39"/>
      <c r="K73" s="39"/>
      <c r="L73" s="391">
        <f t="shared" si="7"/>
        <v>13403</v>
      </c>
      <c r="M73" s="181" t="s">
        <v>697</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698</v>
      </c>
      <c r="D74" s="36" t="s">
        <v>698</v>
      </c>
      <c r="E74" s="34"/>
      <c r="F74" s="50"/>
      <c r="G74" s="37"/>
      <c r="H74" s="86">
        <f>H73-J74</f>
        <v>205883.83999999991</v>
      </c>
      <c r="I74" s="37"/>
      <c r="J74" s="178">
        <v>15005.9</v>
      </c>
      <c r="K74" s="39"/>
      <c r="L74" s="391">
        <f t="shared" si="7"/>
        <v>13403</v>
      </c>
      <c r="M74" s="181" t="s">
        <v>699</v>
      </c>
      <c r="N74" s="34" t="s">
        <v>854</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700</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702</v>
      </c>
      <c r="D76" s="36"/>
      <c r="E76" s="34"/>
      <c r="F76" s="50"/>
      <c r="G76" s="37"/>
      <c r="H76" s="86">
        <f>H75-J76</f>
        <v>204383.83999999991</v>
      </c>
      <c r="I76" s="37"/>
      <c r="J76" s="178">
        <v>3000</v>
      </c>
      <c r="K76" s="39"/>
      <c r="L76" s="391">
        <f t="shared" si="7"/>
        <v>13403</v>
      </c>
      <c r="M76" s="181" t="s">
        <v>703</v>
      </c>
      <c r="N76" s="34" t="s">
        <v>854</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705</v>
      </c>
      <c r="D77" s="36" t="s">
        <v>256</v>
      </c>
      <c r="E77" s="34">
        <v>41</v>
      </c>
      <c r="F77" s="307">
        <v>5000</v>
      </c>
      <c r="G77" s="37"/>
      <c r="H77" s="86">
        <f>H76+F77</f>
        <v>209383.83999999991</v>
      </c>
      <c r="I77" s="37"/>
      <c r="J77" s="39"/>
      <c r="K77" s="39"/>
      <c r="L77" s="391">
        <f t="shared" si="7"/>
        <v>13403</v>
      </c>
      <c r="M77" s="181" t="s">
        <v>704</v>
      </c>
      <c r="N77" s="34" t="s">
        <v>854</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540</v>
      </c>
      <c r="D78" s="36" t="s">
        <v>451</v>
      </c>
      <c r="E78" s="34">
        <v>24</v>
      </c>
      <c r="F78" s="307">
        <v>2000</v>
      </c>
      <c r="G78" s="37"/>
      <c r="H78" s="86">
        <f>H77+F78</f>
        <v>211383.83999999991</v>
      </c>
      <c r="I78" s="37"/>
      <c r="J78" s="39"/>
      <c r="K78" s="39"/>
      <c r="L78" s="391">
        <f t="shared" si="7"/>
        <v>13403</v>
      </c>
      <c r="M78" s="181" t="s">
        <v>737</v>
      </c>
      <c r="N78" s="34" t="s">
        <v>854</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722</v>
      </c>
      <c r="D79" s="36" t="s">
        <v>744</v>
      </c>
      <c r="E79" s="34">
        <v>25</v>
      </c>
      <c r="F79" s="307">
        <v>5000</v>
      </c>
      <c r="G79" s="37"/>
      <c r="H79" s="86">
        <f>H78+F79</f>
        <v>216383.83999999991</v>
      </c>
      <c r="I79" s="37"/>
      <c r="J79" s="39"/>
      <c r="K79" s="39"/>
      <c r="L79" s="391">
        <f t="shared" si="7"/>
        <v>13403</v>
      </c>
      <c r="M79" s="181" t="s">
        <v>745</v>
      </c>
      <c r="N79" s="34" t="s">
        <v>854</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549</v>
      </c>
      <c r="D80" s="36"/>
      <c r="E80" s="34">
        <v>26</v>
      </c>
      <c r="F80" s="307">
        <v>2500</v>
      </c>
      <c r="G80" s="37"/>
      <c r="H80" s="86">
        <f>H79+F80</f>
        <v>218883.83999999991</v>
      </c>
      <c r="I80" s="37"/>
      <c r="J80" s="39"/>
      <c r="K80" s="39"/>
      <c r="L80" s="391">
        <f t="shared" si="7"/>
        <v>13403</v>
      </c>
      <c r="M80" s="181" t="s">
        <v>746</v>
      </c>
      <c r="N80" s="34" t="s">
        <v>854</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702</v>
      </c>
      <c r="D81" s="36"/>
      <c r="E81" s="34"/>
      <c r="F81" s="37"/>
      <c r="G81" s="37"/>
      <c r="H81" s="86">
        <f>H80-J81</f>
        <v>204883.83999999991</v>
      </c>
      <c r="I81" s="37"/>
      <c r="J81" s="273">
        <v>14000</v>
      </c>
      <c r="K81" s="39"/>
      <c r="L81" s="391">
        <f t="shared" si="7"/>
        <v>13403</v>
      </c>
      <c r="M81" s="181" t="s">
        <v>730</v>
      </c>
      <c r="N81" s="34" t="s">
        <v>854</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721</v>
      </c>
      <c r="D82" s="36"/>
      <c r="E82" s="34"/>
      <c r="F82" s="37"/>
      <c r="G82" s="37"/>
      <c r="H82" s="86">
        <f>H81-J82</f>
        <v>147013.83999999991</v>
      </c>
      <c r="I82" s="37"/>
      <c r="J82" s="273">
        <v>57870</v>
      </c>
      <c r="K82" s="39"/>
      <c r="L82" s="391">
        <f t="shared" si="7"/>
        <v>13403</v>
      </c>
      <c r="M82" s="181" t="s">
        <v>855</v>
      </c>
      <c r="N82" s="34" t="s">
        <v>854</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731</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720</v>
      </c>
      <c r="D84" s="36"/>
      <c r="E84" s="34"/>
      <c r="F84" s="37"/>
      <c r="G84" s="37"/>
      <c r="H84" s="86">
        <v>147012.4199999999</v>
      </c>
      <c r="I84" s="37"/>
      <c r="J84" s="39"/>
      <c r="K84" s="273">
        <v>7705</v>
      </c>
      <c r="L84" s="391">
        <f t="shared" si="7"/>
        <v>5698</v>
      </c>
      <c r="M84" s="181" t="s">
        <v>865</v>
      </c>
      <c r="N84" s="34" t="s">
        <v>854</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705</v>
      </c>
      <c r="D85" s="36"/>
      <c r="E85" s="34"/>
      <c r="F85" s="37"/>
      <c r="G85" s="37"/>
      <c r="H85" s="86">
        <f>H83-J85</f>
        <v>145512.4199999999</v>
      </c>
      <c r="I85" s="37"/>
      <c r="J85" s="178">
        <v>1500</v>
      </c>
      <c r="K85" s="39"/>
      <c r="L85" s="391">
        <f t="shared" si="7"/>
        <v>5698</v>
      </c>
      <c r="M85" s="181" t="s">
        <v>732</v>
      </c>
      <c r="N85" s="34" t="s">
        <v>854</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735</v>
      </c>
      <c r="D86" s="36"/>
      <c r="E86" s="34"/>
      <c r="F86" s="37"/>
      <c r="G86" s="37"/>
      <c r="H86" s="86">
        <f>H85-J86</f>
        <v>140940.4199999999</v>
      </c>
      <c r="I86" s="37"/>
      <c r="J86" s="273">
        <v>4572</v>
      </c>
      <c r="K86" s="39"/>
      <c r="L86" s="391">
        <f t="shared" si="7"/>
        <v>5698</v>
      </c>
      <c r="M86" s="181" t="s">
        <v>740</v>
      </c>
      <c r="N86" s="34" t="s">
        <v>854</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741</v>
      </c>
      <c r="D87" s="36" t="s">
        <v>366</v>
      </c>
      <c r="E87" s="34">
        <v>27</v>
      </c>
      <c r="F87" s="37">
        <v>2500</v>
      </c>
      <c r="G87" s="37"/>
      <c r="H87" s="86">
        <f>H86+F87</f>
        <v>143440.4199999999</v>
      </c>
      <c r="I87" s="37"/>
      <c r="J87" s="39"/>
      <c r="K87" s="39"/>
      <c r="L87" s="391">
        <f t="shared" si="7"/>
        <v>5698</v>
      </c>
      <c r="M87" s="181" t="s">
        <v>733</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734</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738</v>
      </c>
      <c r="D89" s="36" t="s">
        <v>743</v>
      </c>
      <c r="E89" s="364">
        <v>29</v>
      </c>
      <c r="F89" s="307">
        <v>5000</v>
      </c>
      <c r="G89" s="37"/>
      <c r="H89" s="86">
        <f>H88+F89</f>
        <v>150940.4199999999</v>
      </c>
      <c r="I89" s="37"/>
      <c r="J89" s="39"/>
      <c r="K89" s="39"/>
      <c r="L89" s="391">
        <f t="shared" si="7"/>
        <v>5698</v>
      </c>
      <c r="M89" s="181" t="s">
        <v>739</v>
      </c>
      <c r="N89" s="34" t="s">
        <v>854</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762</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763</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911</v>
      </c>
      <c r="D93" s="36" t="s">
        <v>912</v>
      </c>
      <c r="E93" s="34">
        <v>31</v>
      </c>
      <c r="F93" s="50">
        <v>2500</v>
      </c>
      <c r="G93" s="37"/>
      <c r="H93" s="86">
        <f>H92+F93</f>
        <v>152854.5199999999</v>
      </c>
      <c r="I93" s="37"/>
      <c r="J93" s="39"/>
      <c r="K93" s="39"/>
      <c r="L93" s="391">
        <f t="shared" si="7"/>
        <v>5698</v>
      </c>
      <c r="M93" s="181" t="s">
        <v>764</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766</v>
      </c>
      <c r="D94" s="36" t="s">
        <v>767</v>
      </c>
      <c r="E94" s="34">
        <v>32</v>
      </c>
      <c r="F94" s="50">
        <v>2500</v>
      </c>
      <c r="G94" s="37"/>
      <c r="H94" s="86">
        <f>H93+F94</f>
        <v>155354.5199999999</v>
      </c>
      <c r="I94" s="37"/>
      <c r="J94" s="39"/>
      <c r="K94" s="39"/>
      <c r="L94" s="391">
        <f t="shared" si="7"/>
        <v>5698</v>
      </c>
      <c r="M94" s="181" t="s">
        <v>765</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879</v>
      </c>
      <c r="D95" s="36" t="s">
        <v>29</v>
      </c>
      <c r="E95" s="34"/>
      <c r="F95" s="50"/>
      <c r="G95" s="37"/>
      <c r="H95" s="86"/>
      <c r="I95" s="184">
        <v>26000</v>
      </c>
      <c r="J95" s="39"/>
      <c r="K95" s="39"/>
      <c r="L95" s="391">
        <f t="shared" si="7"/>
        <v>31698</v>
      </c>
      <c r="M95" s="181" t="s">
        <v>881</v>
      </c>
      <c r="N95" s="34" t="s">
        <v>857</v>
      </c>
      <c r="O95" s="34" t="s">
        <v>886</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860</v>
      </c>
      <c r="D96" s="36" t="s">
        <v>68</v>
      </c>
      <c r="E96" s="34"/>
      <c r="F96" s="50"/>
      <c r="G96" s="37"/>
      <c r="H96" s="86"/>
      <c r="I96" s="184">
        <v>28000</v>
      </c>
      <c r="J96" s="39"/>
      <c r="K96" s="39"/>
      <c r="L96" s="391">
        <f t="shared" si="7"/>
        <v>59698</v>
      </c>
      <c r="M96" s="181" t="s">
        <v>882</v>
      </c>
      <c r="N96" s="34" t="s">
        <v>857</v>
      </c>
      <c r="O96" s="34" t="s">
        <v>886</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828</v>
      </c>
      <c r="D97" s="36" t="s">
        <v>225</v>
      </c>
      <c r="E97" s="34"/>
      <c r="F97" s="50"/>
      <c r="G97" s="37"/>
      <c r="H97" s="86"/>
      <c r="I97" s="184">
        <v>50000</v>
      </c>
      <c r="J97" s="39"/>
      <c r="K97" s="39"/>
      <c r="L97" s="391">
        <f t="shared" si="7"/>
        <v>109698</v>
      </c>
      <c r="M97" s="181" t="s">
        <v>883</v>
      </c>
      <c r="N97" s="34" t="s">
        <v>857</v>
      </c>
      <c r="O97" s="34" t="s">
        <v>886</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880</v>
      </c>
      <c r="D98" s="36"/>
      <c r="E98" s="34"/>
      <c r="F98" s="50"/>
      <c r="G98" s="37"/>
      <c r="H98" s="86"/>
      <c r="I98" s="37"/>
      <c r="J98" s="39"/>
      <c r="K98" s="299">
        <v>94380</v>
      </c>
      <c r="L98" s="391">
        <f t="shared" si="7"/>
        <v>15318</v>
      </c>
      <c r="M98" s="311" t="s">
        <v>884</v>
      </c>
      <c r="N98" s="34" t="s">
        <v>857</v>
      </c>
      <c r="O98" s="34" t="s">
        <v>858</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768</v>
      </c>
      <c r="N99" s="34" t="s">
        <v>857</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770</v>
      </c>
      <c r="E100" s="34">
        <v>34</v>
      </c>
      <c r="F100" s="50">
        <v>2500</v>
      </c>
      <c r="G100" s="37"/>
      <c r="H100" s="86">
        <f>H99+F100</f>
        <v>172854.5199999999</v>
      </c>
      <c r="I100" s="37"/>
      <c r="J100" s="39"/>
      <c r="K100" s="39"/>
      <c r="L100" s="391">
        <f t="shared" si="7"/>
        <v>15318</v>
      </c>
      <c r="M100" s="181" t="s">
        <v>769</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823</v>
      </c>
      <c r="D101" s="36" t="s">
        <v>824</v>
      </c>
      <c r="E101" s="34">
        <v>35</v>
      </c>
      <c r="F101" s="148">
        <v>5000</v>
      </c>
      <c r="G101" s="37"/>
      <c r="H101" s="86">
        <f>H100+F101</f>
        <v>177854.5199999999</v>
      </c>
      <c r="I101" s="37"/>
      <c r="J101" s="39"/>
      <c r="K101" s="39"/>
      <c r="L101" s="391">
        <f t="shared" si="7"/>
        <v>15318</v>
      </c>
      <c r="M101" s="181" t="s">
        <v>822</v>
      </c>
      <c r="N101" s="34" t="s">
        <v>857</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825</v>
      </c>
      <c r="N102" s="34" t="s">
        <v>857</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826</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828</v>
      </c>
      <c r="D104" s="36" t="s">
        <v>225</v>
      </c>
      <c r="E104" s="34"/>
      <c r="F104" s="50"/>
      <c r="G104" s="37"/>
      <c r="H104" s="86">
        <f>H103-J104</f>
        <v>140354.5199999999</v>
      </c>
      <c r="I104" s="37"/>
      <c r="J104" s="299">
        <v>50000</v>
      </c>
      <c r="K104" s="39"/>
      <c r="L104" s="391">
        <f t="shared" si="7"/>
        <v>15318</v>
      </c>
      <c r="M104" s="181" t="s">
        <v>827</v>
      </c>
      <c r="N104" s="34" t="s">
        <v>857</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829</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830</v>
      </c>
      <c r="D106" s="36"/>
      <c r="E106" s="34"/>
      <c r="F106" s="325">
        <v>9620</v>
      </c>
      <c r="G106" s="37"/>
      <c r="H106" s="86">
        <f>H105+F106</f>
        <v>149965.6699999999</v>
      </c>
      <c r="I106" s="37"/>
      <c r="J106" s="39"/>
      <c r="K106" s="39">
        <v>9620</v>
      </c>
      <c r="L106" s="391">
        <f t="shared" si="7"/>
        <v>5698</v>
      </c>
      <c r="M106" s="181" t="s">
        <v>831</v>
      </c>
      <c r="N106" s="34" t="s">
        <v>857</v>
      </c>
      <c r="O106" s="34" t="s">
        <v>886</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834</v>
      </c>
      <c r="D107" s="36" t="s">
        <v>832</v>
      </c>
      <c r="E107" s="34">
        <v>38</v>
      </c>
      <c r="F107" s="148">
        <v>10000</v>
      </c>
      <c r="G107" s="37"/>
      <c r="H107" s="86">
        <f>H106+F107</f>
        <v>159965.6699999999</v>
      </c>
      <c r="I107" s="37"/>
      <c r="J107" s="39"/>
      <c r="K107" s="39"/>
      <c r="L107" s="391">
        <f t="shared" si="7"/>
        <v>5698</v>
      </c>
      <c r="M107" s="181" t="s">
        <v>833</v>
      </c>
      <c r="N107" s="34" t="s">
        <v>857</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835</v>
      </c>
      <c r="E108" s="34">
        <v>39</v>
      </c>
      <c r="F108" s="148">
        <v>5000</v>
      </c>
      <c r="G108" s="37"/>
      <c r="H108" s="86">
        <f>H107+F108</f>
        <v>164965.6699999999</v>
      </c>
      <c r="I108" s="37"/>
      <c r="J108" s="39"/>
      <c r="K108" s="39"/>
      <c r="L108" s="391">
        <f t="shared" si="7"/>
        <v>5698</v>
      </c>
      <c r="M108" s="181" t="s">
        <v>836</v>
      </c>
      <c r="N108" s="34" t="s">
        <v>857</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837</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839</v>
      </c>
      <c r="D110" s="36"/>
      <c r="E110" s="34"/>
      <c r="F110" s="50"/>
      <c r="G110" s="37"/>
      <c r="H110" s="86">
        <f t="shared" ref="H110:H116" si="11">H109-J110</f>
        <v>166218.77999999988</v>
      </c>
      <c r="I110" s="37"/>
      <c r="J110" s="39">
        <v>1.89</v>
      </c>
      <c r="K110" s="39"/>
      <c r="L110" s="391">
        <f t="shared" si="7"/>
        <v>5698</v>
      </c>
      <c r="M110" s="181" t="s">
        <v>838</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840</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841</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842</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843</v>
      </c>
      <c r="N114" s="34" t="s">
        <v>843</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844</v>
      </c>
      <c r="D115" s="36"/>
      <c r="E115" s="34"/>
      <c r="F115" s="50"/>
      <c r="G115" s="37"/>
      <c r="H115" s="86">
        <f t="shared" si="11"/>
        <v>142429.97999999989</v>
      </c>
      <c r="I115" s="37"/>
      <c r="J115" s="304">
        <v>18290</v>
      </c>
      <c r="K115" s="39"/>
      <c r="L115" s="391">
        <f t="shared" si="7"/>
        <v>5698</v>
      </c>
      <c r="M115" s="181" t="s">
        <v>845</v>
      </c>
      <c r="N115" s="34" t="s">
        <v>852</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847</v>
      </c>
      <c r="D117" s="36"/>
      <c r="E117" s="34"/>
      <c r="F117" s="50"/>
      <c r="G117" s="37"/>
      <c r="H117" s="86"/>
      <c r="I117" s="37"/>
      <c r="J117" s="39"/>
      <c r="K117" s="328">
        <v>2000</v>
      </c>
      <c r="L117" s="391">
        <f t="shared" si="7"/>
        <v>3698</v>
      </c>
      <c r="M117" s="181" t="s">
        <v>848</v>
      </c>
      <c r="N117" s="34" t="s">
        <v>859</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669</v>
      </c>
      <c r="D118" s="36" t="s">
        <v>392</v>
      </c>
      <c r="E118" s="34">
        <v>40</v>
      </c>
      <c r="F118" s="305">
        <v>6000</v>
      </c>
      <c r="G118" s="37"/>
      <c r="H118" s="86">
        <f>H116+F118</f>
        <v>148424.0799999999</v>
      </c>
      <c r="I118" s="37"/>
      <c r="J118" s="39"/>
      <c r="K118" s="39"/>
      <c r="L118" s="391">
        <f t="shared" si="7"/>
        <v>3698</v>
      </c>
      <c r="M118" s="181" t="s">
        <v>846</v>
      </c>
      <c r="N118" s="34" t="s">
        <v>852</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591</v>
      </c>
      <c r="E119" s="34"/>
      <c r="F119" s="50"/>
      <c r="G119" s="37"/>
      <c r="H119" s="86">
        <f>H118-J119</f>
        <v>120424.0799999999</v>
      </c>
      <c r="I119" s="37"/>
      <c r="J119" s="299">
        <v>28000</v>
      </c>
      <c r="K119" s="39"/>
      <c r="L119" s="391">
        <f t="shared" si="7"/>
        <v>3698</v>
      </c>
      <c r="M119" s="181" t="s">
        <v>862</v>
      </c>
      <c r="N119" s="34" t="s">
        <v>857</v>
      </c>
      <c r="O119" s="34" t="s">
        <v>858</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843</v>
      </c>
      <c r="N120" s="34" t="s">
        <v>121</v>
      </c>
      <c r="O120" s="34" t="s">
        <v>858</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861</v>
      </c>
      <c r="D121" s="36" t="s">
        <v>29</v>
      </c>
      <c r="E121" s="34"/>
      <c r="F121" s="50"/>
      <c r="G121" s="37"/>
      <c r="H121" s="86">
        <f>H120-J121</f>
        <v>114415.22999999989</v>
      </c>
      <c r="I121" s="37"/>
      <c r="J121" s="299">
        <v>6000</v>
      </c>
      <c r="K121" s="39"/>
      <c r="L121" s="391">
        <f t="shared" si="7"/>
        <v>3698</v>
      </c>
      <c r="M121" s="181" t="s">
        <v>885</v>
      </c>
      <c r="N121" s="34" t="s">
        <v>857</v>
      </c>
      <c r="O121" s="34" t="s">
        <v>858</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843</v>
      </c>
      <c r="N122" s="34" t="s">
        <v>121</v>
      </c>
      <c r="O122" s="34" t="s">
        <v>858</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917</v>
      </c>
      <c r="D123" s="36"/>
      <c r="E123" s="34">
        <v>42</v>
      </c>
      <c r="F123" s="305">
        <v>6000</v>
      </c>
      <c r="G123" s="37"/>
      <c r="H123" s="86">
        <f>H122+F123</f>
        <v>120409.3299999999</v>
      </c>
      <c r="I123" s="37"/>
      <c r="J123" s="39"/>
      <c r="K123" s="39"/>
      <c r="L123" s="391">
        <f t="shared" si="7"/>
        <v>3698</v>
      </c>
      <c r="M123" s="181" t="s">
        <v>916</v>
      </c>
      <c r="N123" s="34" t="s">
        <v>852</v>
      </c>
      <c r="O123" s="34" t="s">
        <v>886</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920</v>
      </c>
      <c r="D124" s="36"/>
      <c r="E124" s="34">
        <v>43</v>
      </c>
      <c r="F124" s="40">
        <v>3000</v>
      </c>
      <c r="G124" s="37"/>
      <c r="H124" s="86">
        <f>H123+F124</f>
        <v>123409.3299999999</v>
      </c>
      <c r="I124" s="37"/>
      <c r="J124" s="39"/>
      <c r="K124" s="39"/>
      <c r="L124" s="391">
        <f t="shared" si="7"/>
        <v>3698</v>
      </c>
      <c r="M124" s="181" t="s">
        <v>921</v>
      </c>
      <c r="N124" s="34" t="s">
        <v>852</v>
      </c>
      <c r="O124" s="34" t="s">
        <v>886</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639</v>
      </c>
      <c r="D125" s="36"/>
      <c r="E125" s="34"/>
      <c r="F125" s="40"/>
      <c r="G125" s="37"/>
      <c r="H125" s="86">
        <f>H124-J125</f>
        <v>123408.3899999999</v>
      </c>
      <c r="I125" s="37"/>
      <c r="J125" s="39">
        <v>0.94</v>
      </c>
      <c r="K125" s="39"/>
      <c r="L125" s="391">
        <f t="shared" si="7"/>
        <v>3698</v>
      </c>
      <c r="M125" s="36" t="s">
        <v>922</v>
      </c>
      <c r="N125" s="34" t="s">
        <v>121</v>
      </c>
      <c r="O125" s="34" t="s">
        <v>858</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560</v>
      </c>
      <c r="D126" s="36" t="s">
        <v>270</v>
      </c>
      <c r="E126" s="34">
        <v>44</v>
      </c>
      <c r="F126" s="50">
        <v>2500</v>
      </c>
      <c r="G126" s="37"/>
      <c r="H126" s="86">
        <f>H125+F126</f>
        <v>125908.3899999999</v>
      </c>
      <c r="I126" s="37"/>
      <c r="J126" s="39"/>
      <c r="K126" s="39"/>
      <c r="L126" s="391">
        <f t="shared" si="7"/>
        <v>3698</v>
      </c>
      <c r="M126" s="36" t="s">
        <v>1102</v>
      </c>
      <c r="N126" s="34" t="s">
        <v>8</v>
      </c>
      <c r="O126" s="34" t="s">
        <v>886</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902</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897</v>
      </c>
      <c r="B134" s="336"/>
      <c r="C134" s="336"/>
      <c r="D134" s="337"/>
    </row>
    <row r="135" spans="1:1022" x14ac:dyDescent="0.25">
      <c r="A135" s="338"/>
      <c r="B135" s="339"/>
      <c r="C135" s="339"/>
      <c r="D135" s="340"/>
    </row>
    <row r="136" spans="1:1022" x14ac:dyDescent="0.25">
      <c r="A136" s="338" t="s">
        <v>898</v>
      </c>
      <c r="B136" s="339"/>
      <c r="C136" s="339"/>
      <c r="D136" s="340"/>
    </row>
    <row r="137" spans="1:1022" x14ac:dyDescent="0.25">
      <c r="A137" s="338" t="s">
        <v>899</v>
      </c>
      <c r="B137" s="339"/>
      <c r="C137" s="339"/>
      <c r="D137" s="340"/>
    </row>
    <row r="138" spans="1:1022" x14ac:dyDescent="0.25">
      <c r="A138" s="338" t="s">
        <v>900</v>
      </c>
      <c r="B138" s="339"/>
      <c r="C138" s="339"/>
      <c r="D138" s="340"/>
    </row>
    <row r="139" spans="1:1022" ht="15.75" thickBot="1" x14ac:dyDescent="0.3">
      <c r="A139" s="341" t="s">
        <v>901</v>
      </c>
      <c r="B139" s="342"/>
      <c r="C139" s="342"/>
      <c r="D139" s="343"/>
    </row>
    <row r="140" spans="1:1022" ht="15.75" thickBot="1" x14ac:dyDescent="0.3">
      <c r="A140" s="344"/>
      <c r="B140" s="344"/>
      <c r="C140" s="344"/>
      <c r="D140" s="344"/>
    </row>
    <row r="141" spans="1:1022" x14ac:dyDescent="0.25">
      <c r="C141" s="345" t="s">
        <v>849</v>
      </c>
      <c r="D141" s="346"/>
      <c r="E141" s="346"/>
      <c r="F141" s="347" t="s">
        <v>113</v>
      </c>
      <c r="G141" s="347"/>
      <c r="H141" s="348" t="s">
        <v>903</v>
      </c>
    </row>
    <row r="142" spans="1:1022" x14ac:dyDescent="0.25">
      <c r="C142" s="349"/>
      <c r="D142" s="350"/>
      <c r="E142" s="350"/>
      <c r="F142" s="351"/>
      <c r="G142" s="351"/>
      <c r="H142" s="352"/>
    </row>
    <row r="143" spans="1:1022" x14ac:dyDescent="0.25">
      <c r="C143" s="50" t="s">
        <v>863</v>
      </c>
      <c r="D143" s="350"/>
      <c r="E143" s="350"/>
      <c r="F143" s="351">
        <v>225000</v>
      </c>
      <c r="G143" s="351"/>
      <c r="H143" s="352">
        <v>0</v>
      </c>
    </row>
    <row r="144" spans="1:1022" x14ac:dyDescent="0.25">
      <c r="C144" s="175" t="s">
        <v>904</v>
      </c>
      <c r="D144" s="350"/>
      <c r="E144" s="350"/>
      <c r="F144" s="351">
        <v>19500</v>
      </c>
      <c r="G144" s="351"/>
      <c r="H144" s="352">
        <v>103652.9</v>
      </c>
      <c r="I144" s="19">
        <f>H144-F144</f>
        <v>84152.9</v>
      </c>
    </row>
    <row r="145" spans="3:10" x14ac:dyDescent="0.25">
      <c r="C145" s="303" t="s">
        <v>905</v>
      </c>
      <c r="D145" s="350"/>
      <c r="E145" s="350"/>
      <c r="F145" s="351">
        <v>26000</v>
      </c>
      <c r="G145" s="351"/>
      <c r="H145" s="352">
        <v>37765.9</v>
      </c>
      <c r="I145" s="19">
        <f>H145-F145</f>
        <v>11765.900000000001</v>
      </c>
    </row>
    <row r="146" spans="3:10" x14ac:dyDescent="0.25">
      <c r="C146" s="286" t="s">
        <v>906</v>
      </c>
      <c r="D146" s="350"/>
      <c r="E146" s="350"/>
      <c r="F146" s="350"/>
      <c r="G146" s="351"/>
      <c r="H146" s="352">
        <v>117392.5</v>
      </c>
    </row>
    <row r="147" spans="3:10" x14ac:dyDescent="0.25">
      <c r="C147" s="233" t="s">
        <v>245</v>
      </c>
      <c r="D147" s="350"/>
      <c r="E147" s="350"/>
      <c r="F147" s="351">
        <v>5081</v>
      </c>
      <c r="G147" s="351"/>
      <c r="H147" s="352"/>
    </row>
    <row r="148" spans="3:10" x14ac:dyDescent="0.25">
      <c r="C148" s="149" t="s">
        <v>907</v>
      </c>
      <c r="D148" s="350"/>
      <c r="E148" s="350"/>
      <c r="F148" s="351">
        <v>65000</v>
      </c>
      <c r="G148" s="351"/>
      <c r="H148" s="352">
        <v>94380</v>
      </c>
      <c r="I148" s="19">
        <f>H148-F148-9620</f>
        <v>19760</v>
      </c>
      <c r="J148" t="s">
        <v>913</v>
      </c>
    </row>
    <row r="149" spans="3:10" x14ac:dyDescent="0.25">
      <c r="C149" s="36" t="s">
        <v>121</v>
      </c>
      <c r="D149" s="350"/>
      <c r="E149" s="350"/>
      <c r="F149" s="351"/>
      <c r="G149" s="351"/>
      <c r="H149" s="352">
        <v>52.88</v>
      </c>
    </row>
    <row r="150" spans="3:10" x14ac:dyDescent="0.25">
      <c r="C150" s="327" t="s">
        <v>908</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801</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909</v>
      </c>
      <c r="E154" s="361"/>
      <c r="F154" s="362"/>
      <c r="G154" s="362"/>
      <c r="H154" s="363">
        <f>H152-F152</f>
        <v>13663.179999999993</v>
      </c>
    </row>
    <row r="155" spans="3:10" x14ac:dyDescent="0.25">
      <c r="C155" s="314" t="s">
        <v>910</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pageSetUpPr fitToPage="1"/>
  </sheetPr>
  <dimension ref="A1:P173"/>
  <sheetViews>
    <sheetView workbookViewId="0">
      <pane xSplit="11" ySplit="5" topLeftCell="L101" activePane="bottomRight" state="frozen"/>
      <selection pane="topRight" activeCell="K1" sqref="K1"/>
      <selection pane="bottomLeft" activeCell="A6" sqref="A6"/>
      <selection pane="bottomRight" activeCell="C109" sqref="C109:D109"/>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1315</v>
      </c>
      <c r="B1" s="20"/>
      <c r="C1" s="2"/>
      <c r="D1" s="2"/>
      <c r="E1" s="2"/>
      <c r="F1" s="1"/>
      <c r="G1" s="3"/>
      <c r="H1" s="3"/>
      <c r="I1" s="75"/>
      <c r="J1" s="75"/>
      <c r="K1" s="5"/>
      <c r="L1" s="5"/>
      <c r="M1" s="5"/>
      <c r="N1" s="2"/>
      <c r="O1" s="1"/>
      <c r="P1" s="1"/>
    </row>
    <row r="2" spans="1:16" x14ac:dyDescent="0.25">
      <c r="A2" s="6"/>
      <c r="B2" s="21"/>
      <c r="C2" s="7"/>
      <c r="D2" s="7"/>
      <c r="E2" s="7"/>
      <c r="F2" s="6"/>
      <c r="G2" s="597" t="s">
        <v>1</v>
      </c>
      <c r="H2" s="597"/>
      <c r="I2" s="597"/>
      <c r="J2" s="597"/>
      <c r="K2" s="599" t="s">
        <v>804</v>
      </c>
      <c r="L2" s="600"/>
      <c r="M2" s="388" t="s">
        <v>11</v>
      </c>
      <c r="N2" s="246"/>
      <c r="O2" s="34" t="s">
        <v>849</v>
      </c>
      <c r="P2" s="34" t="s">
        <v>850</v>
      </c>
    </row>
    <row r="3" spans="1:16" s="377" customFormat="1" x14ac:dyDescent="0.25">
      <c r="A3" s="115" t="s">
        <v>3</v>
      </c>
      <c r="B3" s="116" t="s">
        <v>4</v>
      </c>
      <c r="C3" s="117" t="s">
        <v>5</v>
      </c>
      <c r="D3" s="117" t="s">
        <v>6</v>
      </c>
      <c r="E3" s="117" t="s">
        <v>988</v>
      </c>
      <c r="F3" s="115" t="s">
        <v>7</v>
      </c>
      <c r="G3" s="118" t="s">
        <v>8</v>
      </c>
      <c r="H3" s="118" t="s">
        <v>9</v>
      </c>
      <c r="I3" s="119" t="s">
        <v>729</v>
      </c>
      <c r="J3" s="119" t="s">
        <v>11</v>
      </c>
      <c r="K3" s="121" t="s">
        <v>10</v>
      </c>
      <c r="L3" s="121" t="s">
        <v>11</v>
      </c>
      <c r="M3" s="389" t="s">
        <v>206</v>
      </c>
      <c r="N3" s="247" t="s">
        <v>13</v>
      </c>
      <c r="O3" s="252"/>
      <c r="P3" s="252"/>
    </row>
    <row r="4" spans="1:16" s="377" customFormat="1" ht="45" x14ac:dyDescent="0.25">
      <c r="A4" s="224"/>
      <c r="B4" s="225"/>
      <c r="C4" s="226"/>
      <c r="D4" s="226"/>
      <c r="E4" s="226"/>
      <c r="F4" s="224"/>
      <c r="G4" s="228" t="s">
        <v>1168</v>
      </c>
      <c r="H4" s="227"/>
      <c r="I4" s="228"/>
      <c r="J4" s="228"/>
      <c r="K4" s="230"/>
      <c r="L4" s="230"/>
      <c r="M4" s="390"/>
      <c r="N4" s="257"/>
      <c r="O4" s="252"/>
      <c r="P4" s="252"/>
    </row>
    <row r="5" spans="1:16" ht="42" x14ac:dyDescent="0.35">
      <c r="A5" s="135"/>
      <c r="B5" s="136"/>
      <c r="C5" s="203" t="s">
        <v>1098</v>
      </c>
      <c r="D5" s="137"/>
      <c r="E5" s="137"/>
      <c r="F5" s="135"/>
      <c r="G5" s="138"/>
      <c r="H5" s="138"/>
      <c r="I5" s="139">
        <v>125908.3899999999</v>
      </c>
      <c r="J5" s="139">
        <v>3698</v>
      </c>
      <c r="K5" s="142"/>
      <c r="L5" s="142"/>
      <c r="M5" s="397"/>
      <c r="N5" s="258"/>
      <c r="O5" s="253"/>
      <c r="P5" s="253"/>
    </row>
    <row r="6" spans="1:16" ht="60" x14ac:dyDescent="0.25">
      <c r="A6" s="34"/>
      <c r="B6" s="35">
        <v>45384</v>
      </c>
      <c r="C6" s="36" t="s">
        <v>555</v>
      </c>
      <c r="D6" s="36" t="s">
        <v>557</v>
      </c>
      <c r="E6" s="36" t="s">
        <v>989</v>
      </c>
      <c r="F6" s="34"/>
      <c r="G6" s="37">
        <v>1500</v>
      </c>
      <c r="H6" s="37"/>
      <c r="I6" s="86">
        <f>I5+G6</f>
        <v>127408.3899999999</v>
      </c>
      <c r="J6" s="86"/>
      <c r="K6" s="39"/>
      <c r="L6" s="39"/>
      <c r="M6" s="391">
        <f>J5</f>
        <v>3698</v>
      </c>
      <c r="N6" s="181" t="s">
        <v>924</v>
      </c>
      <c r="O6" s="34" t="s">
        <v>8</v>
      </c>
      <c r="P6" s="34" t="s">
        <v>886</v>
      </c>
    </row>
    <row r="7" spans="1:16" ht="60" x14ac:dyDescent="0.25">
      <c r="A7" s="34"/>
      <c r="B7" s="35">
        <v>45384</v>
      </c>
      <c r="C7" s="36" t="s">
        <v>949</v>
      </c>
      <c r="D7" s="36" t="s">
        <v>950</v>
      </c>
      <c r="E7" s="36" t="s">
        <v>994</v>
      </c>
      <c r="F7" s="34"/>
      <c r="G7" s="37">
        <v>1500</v>
      </c>
      <c r="H7" s="37"/>
      <c r="I7" s="86">
        <f>I6+G7</f>
        <v>128908.3899999999</v>
      </c>
      <c r="J7" s="86"/>
      <c r="K7" s="39"/>
      <c r="L7" s="39"/>
      <c r="M7" s="391">
        <f>M6+J7-L7</f>
        <v>3698</v>
      </c>
      <c r="N7" s="181" t="s">
        <v>925</v>
      </c>
      <c r="O7" s="34" t="s">
        <v>8</v>
      </c>
      <c r="P7" s="34" t="s">
        <v>886</v>
      </c>
    </row>
    <row r="8" spans="1:16" ht="30" x14ac:dyDescent="0.25">
      <c r="A8" s="34"/>
      <c r="B8" s="35">
        <v>45384</v>
      </c>
      <c r="C8" s="36" t="s">
        <v>136</v>
      </c>
      <c r="D8" s="36" t="s">
        <v>43</v>
      </c>
      <c r="E8" s="36" t="s">
        <v>990</v>
      </c>
      <c r="F8" s="34"/>
      <c r="G8" s="37">
        <v>2500</v>
      </c>
      <c r="H8" s="37"/>
      <c r="I8" s="86">
        <f>I7+G8</f>
        <v>131408.3899999999</v>
      </c>
      <c r="J8" s="86"/>
      <c r="K8" s="39"/>
      <c r="L8" s="39"/>
      <c r="M8" s="391">
        <f t="shared" ref="M8:M71" si="0">M7+J8-L8</f>
        <v>3698</v>
      </c>
      <c r="N8" s="181" t="s">
        <v>941</v>
      </c>
      <c r="O8" s="34" t="s">
        <v>8</v>
      </c>
      <c r="P8" s="34" t="s">
        <v>886</v>
      </c>
    </row>
    <row r="9" spans="1:16" ht="60" x14ac:dyDescent="0.25">
      <c r="A9" s="34"/>
      <c r="B9" s="35">
        <v>45385</v>
      </c>
      <c r="C9" s="36" t="s">
        <v>321</v>
      </c>
      <c r="D9" s="36" t="s">
        <v>927</v>
      </c>
      <c r="E9" s="36" t="s">
        <v>29</v>
      </c>
      <c r="F9" s="34"/>
      <c r="G9" s="37">
        <v>2500</v>
      </c>
      <c r="H9" s="37"/>
      <c r="I9" s="86">
        <f>I8+G9</f>
        <v>133908.3899999999</v>
      </c>
      <c r="J9" s="86"/>
      <c r="K9" s="39"/>
      <c r="L9" s="39"/>
      <c r="M9" s="391">
        <f t="shared" si="0"/>
        <v>3698</v>
      </c>
      <c r="N9" s="181" t="s">
        <v>926</v>
      </c>
      <c r="O9" s="34" t="s">
        <v>8</v>
      </c>
      <c r="P9" s="34" t="s">
        <v>886</v>
      </c>
    </row>
    <row r="10" spans="1:16" ht="60" x14ac:dyDescent="0.25">
      <c r="A10" s="34"/>
      <c r="B10" s="35">
        <v>45385</v>
      </c>
      <c r="C10" s="36" t="s">
        <v>929</v>
      </c>
      <c r="D10" s="36" t="s">
        <v>541</v>
      </c>
      <c r="E10" s="36" t="s">
        <v>991</v>
      </c>
      <c r="F10" s="34"/>
      <c r="G10" s="37">
        <v>1500</v>
      </c>
      <c r="H10" s="37"/>
      <c r="I10" s="86">
        <f>I9+G10</f>
        <v>135408.3899999999</v>
      </c>
      <c r="J10" s="86"/>
      <c r="K10" s="39"/>
      <c r="L10" s="39"/>
      <c r="M10" s="391">
        <f t="shared" si="0"/>
        <v>3698</v>
      </c>
      <c r="N10" s="181" t="s">
        <v>928</v>
      </c>
      <c r="O10" s="34" t="s">
        <v>8</v>
      </c>
      <c r="P10" s="34" t="s">
        <v>886</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930</v>
      </c>
      <c r="O11" s="34" t="s">
        <v>106</v>
      </c>
      <c r="P11" s="34" t="s">
        <v>858</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931</v>
      </c>
      <c r="O12" s="34" t="s">
        <v>121</v>
      </c>
      <c r="P12" s="34" t="s">
        <v>858</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932</v>
      </c>
      <c r="O13" s="34" t="s">
        <v>8</v>
      </c>
      <c r="P13" s="34" t="s">
        <v>886</v>
      </c>
    </row>
    <row r="14" spans="1:16" ht="60" x14ac:dyDescent="0.25">
      <c r="A14" s="34"/>
      <c r="B14" s="35">
        <v>45389</v>
      </c>
      <c r="C14" s="36" t="s">
        <v>15</v>
      </c>
      <c r="D14" s="36" t="s">
        <v>691</v>
      </c>
      <c r="E14" s="36" t="s">
        <v>992</v>
      </c>
      <c r="F14" s="34"/>
      <c r="G14" s="37">
        <v>2512</v>
      </c>
      <c r="H14" s="37"/>
      <c r="I14" s="86">
        <f>I13+G14</f>
        <v>128695.4899999999</v>
      </c>
      <c r="J14" s="86"/>
      <c r="K14" s="39"/>
      <c r="L14" s="39"/>
      <c r="M14" s="391">
        <f t="shared" si="0"/>
        <v>3698</v>
      </c>
      <c r="N14" s="181" t="s">
        <v>933</v>
      </c>
      <c r="O14" s="34" t="s">
        <v>8</v>
      </c>
      <c r="P14" s="34" t="s">
        <v>886</v>
      </c>
    </row>
    <row r="15" spans="1:16" ht="60" x14ac:dyDescent="0.25">
      <c r="A15" s="34"/>
      <c r="B15" s="35">
        <v>45389</v>
      </c>
      <c r="C15" s="36" t="s">
        <v>935</v>
      </c>
      <c r="D15" s="36" t="s">
        <v>934</v>
      </c>
      <c r="E15" s="36" t="s">
        <v>29</v>
      </c>
      <c r="F15" s="34"/>
      <c r="G15" s="37">
        <v>7500</v>
      </c>
      <c r="H15" s="37"/>
      <c r="I15" s="86">
        <f>I14+G15</f>
        <v>136195.4899999999</v>
      </c>
      <c r="J15" s="86"/>
      <c r="K15" s="39"/>
      <c r="L15" s="39"/>
      <c r="M15" s="391">
        <f t="shared" si="0"/>
        <v>3698</v>
      </c>
      <c r="N15" s="181" t="s">
        <v>937</v>
      </c>
      <c r="O15" s="34" t="s">
        <v>8</v>
      </c>
      <c r="P15" s="34" t="s">
        <v>886</v>
      </c>
    </row>
    <row r="16" spans="1:16" ht="60" x14ac:dyDescent="0.25">
      <c r="A16" s="34"/>
      <c r="B16" s="35">
        <v>45389</v>
      </c>
      <c r="C16" s="36" t="s">
        <v>948</v>
      </c>
      <c r="D16" s="36" t="s">
        <v>962</v>
      </c>
      <c r="E16" s="36" t="s">
        <v>29</v>
      </c>
      <c r="F16" s="34"/>
      <c r="G16" s="37">
        <v>1500</v>
      </c>
      <c r="H16" s="37"/>
      <c r="I16" s="86">
        <f t="shared" ref="I16:I18" si="1">I15+G16</f>
        <v>137695.4899999999</v>
      </c>
      <c r="J16" s="86"/>
      <c r="K16" s="39"/>
      <c r="L16" s="39"/>
      <c r="M16" s="391">
        <f t="shared" si="0"/>
        <v>3698</v>
      </c>
      <c r="N16" s="181" t="s">
        <v>936</v>
      </c>
      <c r="O16" s="34" t="s">
        <v>8</v>
      </c>
      <c r="P16" s="34" t="s">
        <v>886</v>
      </c>
    </row>
    <row r="17" spans="1:16" ht="60" x14ac:dyDescent="0.25">
      <c r="A17" s="34"/>
      <c r="B17" s="35">
        <v>45389</v>
      </c>
      <c r="C17" s="36" t="s">
        <v>580</v>
      </c>
      <c r="D17" s="36" t="s">
        <v>582</v>
      </c>
      <c r="E17" s="36" t="s">
        <v>23</v>
      </c>
      <c r="F17" s="34"/>
      <c r="G17" s="37">
        <v>2500</v>
      </c>
      <c r="H17" s="37"/>
      <c r="I17" s="86">
        <f>I16+G17</f>
        <v>140195.4899999999</v>
      </c>
      <c r="J17" s="86"/>
      <c r="K17" s="39"/>
      <c r="L17" s="39"/>
      <c r="M17" s="391">
        <f t="shared" si="0"/>
        <v>3698</v>
      </c>
      <c r="N17" s="181" t="s">
        <v>938</v>
      </c>
      <c r="O17" s="34" t="s">
        <v>8</v>
      </c>
      <c r="P17" s="34" t="s">
        <v>886</v>
      </c>
    </row>
    <row r="18" spans="1:16" ht="105" x14ac:dyDescent="0.25">
      <c r="A18" s="34"/>
      <c r="B18" s="35">
        <v>45390</v>
      </c>
      <c r="C18" s="36" t="s">
        <v>642</v>
      </c>
      <c r="D18" s="36" t="s">
        <v>939</v>
      </c>
      <c r="E18" s="36" t="s">
        <v>29</v>
      </c>
      <c r="F18" s="34"/>
      <c r="G18" s="37">
        <v>7500</v>
      </c>
      <c r="H18" s="37"/>
      <c r="I18" s="86">
        <f t="shared" si="1"/>
        <v>147695.4899999999</v>
      </c>
      <c r="J18" s="86"/>
      <c r="K18" s="39"/>
      <c r="L18" s="39"/>
      <c r="M18" s="391">
        <f t="shared" si="0"/>
        <v>3698</v>
      </c>
      <c r="N18" s="181" t="s">
        <v>940</v>
      </c>
      <c r="O18" s="34" t="s">
        <v>8</v>
      </c>
      <c r="P18" s="34" t="s">
        <v>886</v>
      </c>
    </row>
    <row r="19" spans="1:16" ht="60" x14ac:dyDescent="0.25">
      <c r="A19" s="34"/>
      <c r="B19" s="35">
        <v>45390</v>
      </c>
      <c r="C19" s="36" t="s">
        <v>968</v>
      </c>
      <c r="D19" s="36" t="s">
        <v>225</v>
      </c>
      <c r="E19" s="36" t="s">
        <v>989</v>
      </c>
      <c r="F19" s="34"/>
      <c r="G19" s="37">
        <v>2500</v>
      </c>
      <c r="H19" s="37"/>
      <c r="I19" s="86">
        <f t="shared" ref="I19:I24" si="2">I18+G19</f>
        <v>150195.4899999999</v>
      </c>
      <c r="J19" s="86"/>
      <c r="K19" s="39"/>
      <c r="L19" s="39"/>
      <c r="M19" s="391">
        <f t="shared" si="0"/>
        <v>3698</v>
      </c>
      <c r="N19" s="181" t="s">
        <v>942</v>
      </c>
      <c r="O19" s="34" t="s">
        <v>8</v>
      </c>
      <c r="P19" s="34" t="s">
        <v>886</v>
      </c>
    </row>
    <row r="20" spans="1:16" ht="30" x14ac:dyDescent="0.25">
      <c r="A20" s="34"/>
      <c r="B20" s="35">
        <v>45390</v>
      </c>
      <c r="C20" s="36" t="s">
        <v>431</v>
      </c>
      <c r="D20" s="36" t="s">
        <v>947</v>
      </c>
      <c r="E20" s="36" t="s">
        <v>23</v>
      </c>
      <c r="F20" s="34"/>
      <c r="G20" s="37">
        <v>2500</v>
      </c>
      <c r="H20" s="37"/>
      <c r="I20" s="86">
        <f t="shared" si="2"/>
        <v>152695.4899999999</v>
      </c>
      <c r="J20" s="86"/>
      <c r="K20" s="39"/>
      <c r="L20" s="39"/>
      <c r="M20" s="391">
        <f t="shared" si="0"/>
        <v>3698</v>
      </c>
      <c r="N20" s="181" t="s">
        <v>943</v>
      </c>
      <c r="O20" s="34" t="s">
        <v>8</v>
      </c>
      <c r="P20" s="34" t="s">
        <v>886</v>
      </c>
    </row>
    <row r="21" spans="1:16" ht="60" x14ac:dyDescent="0.25">
      <c r="A21" s="34"/>
      <c r="B21" s="35">
        <v>45390</v>
      </c>
      <c r="C21" s="36" t="s">
        <v>565</v>
      </c>
      <c r="D21" s="36" t="s">
        <v>564</v>
      </c>
      <c r="E21" s="36" t="s">
        <v>990</v>
      </c>
      <c r="F21" s="34"/>
      <c r="G21" s="37">
        <v>2500</v>
      </c>
      <c r="H21" s="37"/>
      <c r="I21" s="86">
        <f t="shared" si="2"/>
        <v>155195.4899999999</v>
      </c>
      <c r="J21" s="86"/>
      <c r="K21" s="39"/>
      <c r="L21" s="39"/>
      <c r="M21" s="391">
        <f t="shared" si="0"/>
        <v>3698</v>
      </c>
      <c r="N21" s="181" t="s">
        <v>944</v>
      </c>
      <c r="O21" s="34" t="s">
        <v>8</v>
      </c>
      <c r="P21" s="34" t="s">
        <v>886</v>
      </c>
    </row>
    <row r="22" spans="1:16" ht="60" x14ac:dyDescent="0.25">
      <c r="A22" s="34"/>
      <c r="B22" s="35">
        <v>45390</v>
      </c>
      <c r="C22" s="36" t="s">
        <v>722</v>
      </c>
      <c r="D22" s="36" t="s">
        <v>744</v>
      </c>
      <c r="E22" s="36" t="s">
        <v>990</v>
      </c>
      <c r="F22" s="34"/>
      <c r="G22" s="37">
        <v>2500</v>
      </c>
      <c r="H22" s="37"/>
      <c r="I22" s="86">
        <f t="shared" si="2"/>
        <v>157695.4899999999</v>
      </c>
      <c r="J22" s="86"/>
      <c r="K22" s="39"/>
      <c r="L22" s="39"/>
      <c r="M22" s="391">
        <f t="shared" si="0"/>
        <v>3698</v>
      </c>
      <c r="N22" s="181" t="s">
        <v>945</v>
      </c>
      <c r="O22" s="34" t="s">
        <v>8</v>
      </c>
      <c r="P22" s="34" t="s">
        <v>886</v>
      </c>
    </row>
    <row r="23" spans="1:16" ht="30" x14ac:dyDescent="0.25">
      <c r="A23" s="34"/>
      <c r="B23" s="35">
        <v>45391</v>
      </c>
      <c r="C23" s="36" t="s">
        <v>302</v>
      </c>
      <c r="D23" s="36" t="s">
        <v>947</v>
      </c>
      <c r="E23" s="36" t="s">
        <v>23</v>
      </c>
      <c r="F23" s="34"/>
      <c r="G23" s="37">
        <v>2500</v>
      </c>
      <c r="H23" s="37"/>
      <c r="I23" s="86">
        <f t="shared" si="2"/>
        <v>160195.4899999999</v>
      </c>
      <c r="J23" s="86"/>
      <c r="K23" s="39"/>
      <c r="L23" s="39"/>
      <c r="M23" s="391">
        <f t="shared" si="0"/>
        <v>3698</v>
      </c>
      <c r="N23" s="181" t="s">
        <v>946</v>
      </c>
      <c r="O23" s="34" t="s">
        <v>8</v>
      </c>
      <c r="P23" s="34" t="s">
        <v>886</v>
      </c>
    </row>
    <row r="24" spans="1:16" ht="45" x14ac:dyDescent="0.25">
      <c r="A24" s="34"/>
      <c r="B24" s="35">
        <v>45396</v>
      </c>
      <c r="C24" s="36" t="s">
        <v>135</v>
      </c>
      <c r="D24" s="36" t="s">
        <v>559</v>
      </c>
      <c r="E24" s="36" t="s">
        <v>992</v>
      </c>
      <c r="F24" s="34"/>
      <c r="G24" s="37">
        <v>2500</v>
      </c>
      <c r="H24" s="37"/>
      <c r="I24" s="86">
        <f t="shared" si="2"/>
        <v>162695.4899999999</v>
      </c>
      <c r="J24" s="86"/>
      <c r="K24" s="39"/>
      <c r="L24" s="39"/>
      <c r="M24" s="391">
        <f t="shared" si="0"/>
        <v>3698</v>
      </c>
      <c r="N24" s="181" t="s">
        <v>951</v>
      </c>
      <c r="O24" s="34" t="s">
        <v>8</v>
      </c>
      <c r="P24" s="34" t="s">
        <v>886</v>
      </c>
    </row>
    <row r="25" spans="1:16" ht="60" x14ac:dyDescent="0.25">
      <c r="A25" s="34"/>
      <c r="B25" s="35">
        <v>45405</v>
      </c>
      <c r="C25" s="36" t="s">
        <v>31</v>
      </c>
      <c r="D25" s="36" t="s">
        <v>954</v>
      </c>
      <c r="E25" s="36" t="s">
        <v>993</v>
      </c>
      <c r="F25" s="34"/>
      <c r="G25" s="37">
        <v>7500</v>
      </c>
      <c r="H25" s="37"/>
      <c r="I25" s="86">
        <f t="shared" ref="I25:I32" si="3">I24+G25</f>
        <v>170195.4899999999</v>
      </c>
      <c r="J25" s="86"/>
      <c r="K25" s="39"/>
      <c r="L25" s="39"/>
      <c r="M25" s="391">
        <f t="shared" si="0"/>
        <v>3698</v>
      </c>
      <c r="N25" s="181" t="s">
        <v>952</v>
      </c>
      <c r="O25" s="34" t="s">
        <v>8</v>
      </c>
      <c r="P25" s="34" t="s">
        <v>886</v>
      </c>
    </row>
    <row r="26" spans="1:16" ht="45" x14ac:dyDescent="0.25">
      <c r="A26" s="34"/>
      <c r="B26" s="35">
        <v>45406</v>
      </c>
      <c r="C26" s="36" t="s">
        <v>175</v>
      </c>
      <c r="D26" s="36" t="s">
        <v>953</v>
      </c>
      <c r="E26" s="36" t="s">
        <v>29</v>
      </c>
      <c r="F26" s="34"/>
      <c r="G26" s="37">
        <v>2500</v>
      </c>
      <c r="H26" s="37"/>
      <c r="I26" s="86">
        <f t="shared" si="3"/>
        <v>172695.4899999999</v>
      </c>
      <c r="J26" s="86"/>
      <c r="K26" s="39"/>
      <c r="L26" s="39"/>
      <c r="M26" s="391">
        <f t="shared" si="0"/>
        <v>3698</v>
      </c>
      <c r="N26" s="181" t="s">
        <v>955</v>
      </c>
      <c r="O26" s="34" t="s">
        <v>8</v>
      </c>
      <c r="P26" s="34" t="s">
        <v>886</v>
      </c>
    </row>
    <row r="27" spans="1:16" ht="75" x14ac:dyDescent="0.25">
      <c r="A27" s="34"/>
      <c r="B27" s="35">
        <v>45384</v>
      </c>
      <c r="C27" s="36" t="s">
        <v>957</v>
      </c>
      <c r="D27" s="36" t="s">
        <v>569</v>
      </c>
      <c r="E27" s="36" t="s">
        <v>989</v>
      </c>
      <c r="F27" s="34"/>
      <c r="G27" s="37">
        <v>5000</v>
      </c>
      <c r="H27" s="37"/>
      <c r="I27" s="86">
        <f t="shared" si="3"/>
        <v>177695.4899999999</v>
      </c>
      <c r="J27" s="86"/>
      <c r="K27" s="39"/>
      <c r="L27" s="39"/>
      <c r="M27" s="391">
        <f t="shared" si="0"/>
        <v>3698</v>
      </c>
      <c r="N27" s="181" t="s">
        <v>967</v>
      </c>
      <c r="O27" s="34" t="s">
        <v>8</v>
      </c>
      <c r="P27" s="34" t="s">
        <v>886</v>
      </c>
    </row>
    <row r="28" spans="1:16" ht="60" x14ac:dyDescent="0.25">
      <c r="A28" s="34"/>
      <c r="B28" s="35">
        <v>45411</v>
      </c>
      <c r="C28" s="36" t="s">
        <v>351</v>
      </c>
      <c r="D28" s="36" t="s">
        <v>956</v>
      </c>
      <c r="E28" s="36" t="s">
        <v>991</v>
      </c>
      <c r="F28" s="34"/>
      <c r="G28" s="37">
        <v>7500</v>
      </c>
      <c r="H28" s="37"/>
      <c r="I28" s="86">
        <f t="shared" si="3"/>
        <v>185195.4899999999</v>
      </c>
      <c r="J28" s="86"/>
      <c r="K28" s="39"/>
      <c r="L28" s="39"/>
      <c r="M28" s="391">
        <f t="shared" si="0"/>
        <v>3698</v>
      </c>
      <c r="N28" s="181" t="s">
        <v>958</v>
      </c>
      <c r="O28" s="34" t="s">
        <v>8</v>
      </c>
      <c r="P28" s="34" t="s">
        <v>886</v>
      </c>
    </row>
    <row r="29" spans="1:16" x14ac:dyDescent="0.25">
      <c r="A29" s="378"/>
      <c r="B29" s="232">
        <v>45413</v>
      </c>
      <c r="C29" s="233" t="s">
        <v>960</v>
      </c>
      <c r="D29" s="233" t="s">
        <v>961</v>
      </c>
      <c r="E29" s="233"/>
      <c r="F29" s="34"/>
      <c r="G29" s="37">
        <v>966</v>
      </c>
      <c r="H29" s="37"/>
      <c r="I29" s="86">
        <f t="shared" si="3"/>
        <v>186161.4899999999</v>
      </c>
      <c r="J29" s="86"/>
      <c r="K29" s="39"/>
      <c r="L29" s="39"/>
      <c r="M29" s="391">
        <f t="shared" si="0"/>
        <v>3698</v>
      </c>
      <c r="N29" s="181" t="s">
        <v>959</v>
      </c>
      <c r="O29" s="34" t="s">
        <v>245</v>
      </c>
      <c r="P29" s="34" t="s">
        <v>886</v>
      </c>
    </row>
    <row r="30" spans="1:16" ht="90" x14ac:dyDescent="0.25">
      <c r="A30" s="34"/>
      <c r="B30" s="35">
        <v>45413</v>
      </c>
      <c r="C30" s="36" t="s">
        <v>964</v>
      </c>
      <c r="D30" s="36" t="s">
        <v>962</v>
      </c>
      <c r="E30" s="36" t="s">
        <v>29</v>
      </c>
      <c r="F30" s="34"/>
      <c r="G30" s="37">
        <v>1500</v>
      </c>
      <c r="H30" s="37"/>
      <c r="I30" s="86">
        <f t="shared" si="3"/>
        <v>187661.4899999999</v>
      </c>
      <c r="J30" s="86"/>
      <c r="K30" s="39"/>
      <c r="L30" s="39"/>
      <c r="M30" s="391">
        <f t="shared" si="0"/>
        <v>3698</v>
      </c>
      <c r="N30" s="181" t="s">
        <v>963</v>
      </c>
      <c r="O30" s="34" t="s">
        <v>8</v>
      </c>
      <c r="P30" s="34" t="s">
        <v>886</v>
      </c>
    </row>
    <row r="31" spans="1:16" ht="90" x14ac:dyDescent="0.25">
      <c r="A31" s="34"/>
      <c r="B31" s="35">
        <v>45414</v>
      </c>
      <c r="C31" s="36" t="s">
        <v>325</v>
      </c>
      <c r="D31" s="36" t="s">
        <v>962</v>
      </c>
      <c r="E31" s="36" t="s">
        <v>29</v>
      </c>
      <c r="F31" s="34"/>
      <c r="G31" s="37">
        <v>1500</v>
      </c>
      <c r="H31" s="37"/>
      <c r="I31" s="86">
        <f t="shared" si="3"/>
        <v>189161.4899999999</v>
      </c>
      <c r="J31" s="86"/>
      <c r="K31" s="39"/>
      <c r="L31" s="39"/>
      <c r="M31" s="391">
        <f t="shared" si="0"/>
        <v>3698</v>
      </c>
      <c r="N31" s="181" t="s">
        <v>965</v>
      </c>
      <c r="O31" s="34" t="s">
        <v>8</v>
      </c>
      <c r="P31" s="34" t="s">
        <v>886</v>
      </c>
    </row>
    <row r="32" spans="1:16" ht="75" x14ac:dyDescent="0.25">
      <c r="A32" s="34"/>
      <c r="B32" s="35">
        <v>45415</v>
      </c>
      <c r="C32" s="36" t="s">
        <v>146</v>
      </c>
      <c r="D32" s="36" t="s">
        <v>552</v>
      </c>
      <c r="E32" s="36" t="s">
        <v>994</v>
      </c>
      <c r="F32" s="34"/>
      <c r="G32" s="37">
        <v>2500</v>
      </c>
      <c r="H32" s="37"/>
      <c r="I32" s="86">
        <f t="shared" si="3"/>
        <v>191661.4899999999</v>
      </c>
      <c r="J32" s="86"/>
      <c r="K32" s="39"/>
      <c r="L32" s="39"/>
      <c r="M32" s="391">
        <f t="shared" si="0"/>
        <v>3698</v>
      </c>
      <c r="N32" s="181" t="s">
        <v>966</v>
      </c>
      <c r="O32" s="34" t="s">
        <v>8</v>
      </c>
      <c r="P32" s="34" t="s">
        <v>886</v>
      </c>
    </row>
    <row r="33" spans="1:16" ht="60" x14ac:dyDescent="0.25">
      <c r="A33" s="34"/>
      <c r="B33" s="35">
        <v>45416</v>
      </c>
      <c r="C33" s="36" t="s">
        <v>132</v>
      </c>
      <c r="D33" s="36" t="s">
        <v>133</v>
      </c>
      <c r="E33" s="36" t="s">
        <v>991</v>
      </c>
      <c r="F33" s="34"/>
      <c r="G33" s="37">
        <v>2500</v>
      </c>
      <c r="H33" s="37"/>
      <c r="I33" s="86">
        <f>I32+G33</f>
        <v>194161.4899999999</v>
      </c>
      <c r="J33" s="86"/>
      <c r="K33" s="39"/>
      <c r="L33" s="39"/>
      <c r="M33" s="391">
        <f t="shared" si="0"/>
        <v>3698</v>
      </c>
      <c r="N33" s="181" t="s">
        <v>969</v>
      </c>
      <c r="O33" s="34" t="s">
        <v>8</v>
      </c>
      <c r="P33" s="34" t="s">
        <v>886</v>
      </c>
    </row>
    <row r="34" spans="1:16" x14ac:dyDescent="0.25">
      <c r="A34" s="382"/>
      <c r="B34" s="387">
        <v>45416</v>
      </c>
      <c r="C34" s="382" t="s">
        <v>839</v>
      </c>
      <c r="D34" s="384"/>
      <c r="E34" s="384"/>
      <c r="F34" s="34"/>
      <c r="G34" s="37"/>
      <c r="H34" s="37"/>
      <c r="I34" s="86">
        <f>I33-K34</f>
        <v>194161.24999999991</v>
      </c>
      <c r="J34" s="86"/>
      <c r="K34" s="39">
        <v>0.24</v>
      </c>
      <c r="L34" s="39"/>
      <c r="M34" s="391">
        <f t="shared" si="0"/>
        <v>3698</v>
      </c>
      <c r="N34" s="181" t="s">
        <v>970</v>
      </c>
      <c r="O34" s="34" t="s">
        <v>121</v>
      </c>
      <c r="P34" s="34" t="s">
        <v>858</v>
      </c>
    </row>
    <row r="35" spans="1:16" ht="30" x14ac:dyDescent="0.25">
      <c r="A35" s="385"/>
      <c r="B35" s="386">
        <v>45416</v>
      </c>
      <c r="C35" s="303" t="s">
        <v>971</v>
      </c>
      <c r="D35" s="303" t="s">
        <v>972</v>
      </c>
      <c r="E35" s="303" t="s">
        <v>993</v>
      </c>
      <c r="F35" s="34"/>
      <c r="G35" s="40">
        <v>3000</v>
      </c>
      <c r="H35" s="37"/>
      <c r="I35" s="86">
        <f>I34+G35</f>
        <v>197161.24999999991</v>
      </c>
      <c r="J35" s="86"/>
      <c r="K35" s="39"/>
      <c r="L35" s="39"/>
      <c r="M35" s="391">
        <f t="shared" si="0"/>
        <v>3698</v>
      </c>
      <c r="N35" s="181" t="s">
        <v>981</v>
      </c>
      <c r="O35" s="34" t="s">
        <v>852</v>
      </c>
      <c r="P35" s="34" t="s">
        <v>886</v>
      </c>
    </row>
    <row r="36" spans="1:16" ht="30" x14ac:dyDescent="0.25">
      <c r="A36" s="34"/>
      <c r="B36" s="381">
        <v>45416</v>
      </c>
      <c r="C36" s="36" t="s">
        <v>36</v>
      </c>
      <c r="D36" s="36" t="s">
        <v>973</v>
      </c>
      <c r="E36" s="36" t="s">
        <v>993</v>
      </c>
      <c r="F36" s="34"/>
      <c r="G36" s="37">
        <v>2500</v>
      </c>
      <c r="H36" s="37"/>
      <c r="I36" s="86">
        <f>I35+G36</f>
        <v>199661.24999999991</v>
      </c>
      <c r="J36" s="86"/>
      <c r="K36" s="39"/>
      <c r="L36" s="39"/>
      <c r="M36" s="391">
        <f t="shared" si="0"/>
        <v>3698</v>
      </c>
      <c r="N36" s="181" t="s">
        <v>974</v>
      </c>
      <c r="O36" s="34" t="s">
        <v>8</v>
      </c>
      <c r="P36" s="34" t="s">
        <v>886</v>
      </c>
    </row>
    <row r="37" spans="1:16" ht="45" x14ac:dyDescent="0.25">
      <c r="A37" s="34"/>
      <c r="B37" s="381">
        <v>45428</v>
      </c>
      <c r="C37" s="36" t="s">
        <v>979</v>
      </c>
      <c r="D37" s="36" t="s">
        <v>980</v>
      </c>
      <c r="E37" s="36" t="s">
        <v>989</v>
      </c>
      <c r="F37" s="34"/>
      <c r="G37" s="37">
        <v>1500</v>
      </c>
      <c r="H37" s="37"/>
      <c r="I37" s="86">
        <f>I36+G37</f>
        <v>201161.24999999991</v>
      </c>
      <c r="J37" s="86"/>
      <c r="K37" s="39"/>
      <c r="L37" s="39"/>
      <c r="M37" s="391">
        <f t="shared" si="0"/>
        <v>3698</v>
      </c>
      <c r="N37" s="181" t="s">
        <v>975</v>
      </c>
      <c r="O37" s="34" t="s">
        <v>8</v>
      </c>
      <c r="P37" s="34" t="s">
        <v>886</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977</v>
      </c>
      <c r="O38" s="34" t="s">
        <v>121</v>
      </c>
      <c r="P38" s="34" t="s">
        <v>858</v>
      </c>
    </row>
    <row r="39" spans="1:16" ht="75" x14ac:dyDescent="0.25">
      <c r="A39" s="34"/>
      <c r="B39" s="381">
        <v>45434</v>
      </c>
      <c r="C39" s="36" t="s">
        <v>976</v>
      </c>
      <c r="D39" s="36" t="s">
        <v>982</v>
      </c>
      <c r="E39" s="36" t="s">
        <v>29</v>
      </c>
      <c r="F39" s="34"/>
      <c r="G39" s="37">
        <v>3000</v>
      </c>
      <c r="H39" s="37"/>
      <c r="I39" s="86">
        <f>I38+G39</f>
        <v>204161.00999999992</v>
      </c>
      <c r="J39" s="86"/>
      <c r="K39" s="39"/>
      <c r="L39" s="39"/>
      <c r="M39" s="391">
        <f t="shared" si="0"/>
        <v>3698</v>
      </c>
      <c r="N39" s="181" t="s">
        <v>978</v>
      </c>
      <c r="O39" s="34" t="s">
        <v>8</v>
      </c>
      <c r="P39" s="34" t="s">
        <v>886</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983</v>
      </c>
      <c r="O40" s="34" t="s">
        <v>121</v>
      </c>
      <c r="P40" s="34" t="s">
        <v>858</v>
      </c>
    </row>
    <row r="41" spans="1:16" ht="30" x14ac:dyDescent="0.25">
      <c r="A41" s="379"/>
      <c r="B41" s="234">
        <v>45462</v>
      </c>
      <c r="C41" s="214" t="s">
        <v>106</v>
      </c>
      <c r="D41" s="214" t="s">
        <v>985</v>
      </c>
      <c r="E41" s="214"/>
      <c r="F41" s="34"/>
      <c r="G41" s="37"/>
      <c r="H41" s="37"/>
      <c r="I41" s="86">
        <f>I40-K41</f>
        <v>198732.76999999993</v>
      </c>
      <c r="J41" s="86"/>
      <c r="K41" s="39">
        <v>5428</v>
      </c>
      <c r="L41" s="39"/>
      <c r="M41" s="391">
        <f t="shared" si="0"/>
        <v>3698</v>
      </c>
      <c r="N41" s="181" t="s">
        <v>984</v>
      </c>
      <c r="O41" s="34" t="s">
        <v>106</v>
      </c>
      <c r="P41" s="34" t="s">
        <v>858</v>
      </c>
    </row>
    <row r="42" spans="1:16" x14ac:dyDescent="0.25">
      <c r="A42" s="382"/>
      <c r="B42" s="383">
        <v>45462</v>
      </c>
      <c r="C42" s="384" t="s">
        <v>121</v>
      </c>
      <c r="D42" s="384" t="s">
        <v>931</v>
      </c>
      <c r="E42" s="384"/>
      <c r="F42" s="34"/>
      <c r="G42" s="37"/>
      <c r="H42" s="37"/>
      <c r="I42" s="86">
        <f>I41-K42</f>
        <v>198726.86999999994</v>
      </c>
      <c r="J42" s="86"/>
      <c r="K42" s="39">
        <v>5.9</v>
      </c>
      <c r="L42" s="39"/>
      <c r="M42" s="391">
        <f t="shared" si="0"/>
        <v>3698</v>
      </c>
      <c r="N42" s="181"/>
      <c r="O42" s="34" t="s">
        <v>121</v>
      </c>
      <c r="P42" s="34" t="s">
        <v>858</v>
      </c>
    </row>
    <row r="43" spans="1:16" x14ac:dyDescent="0.25">
      <c r="A43" s="34"/>
      <c r="B43" s="381">
        <v>45471</v>
      </c>
      <c r="C43" s="36" t="s">
        <v>121</v>
      </c>
      <c r="D43" s="36" t="s">
        <v>639</v>
      </c>
      <c r="E43" s="36"/>
      <c r="F43" s="34"/>
      <c r="G43" s="37"/>
      <c r="H43" s="37"/>
      <c r="I43" s="86">
        <f>I42-K43</f>
        <v>198726.39999999994</v>
      </c>
      <c r="J43" s="86"/>
      <c r="K43" s="39">
        <v>0.47</v>
      </c>
      <c r="L43" s="39"/>
      <c r="M43" s="391">
        <f t="shared" si="0"/>
        <v>3698</v>
      </c>
      <c r="N43" s="181" t="s">
        <v>986</v>
      </c>
      <c r="O43" s="34" t="s">
        <v>121</v>
      </c>
      <c r="P43" s="34" t="s">
        <v>858</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987</v>
      </c>
      <c r="O44" s="34" t="s">
        <v>8</v>
      </c>
      <c r="P44" s="34" t="s">
        <v>886</v>
      </c>
    </row>
    <row r="45" spans="1:16" ht="90" x14ac:dyDescent="0.25">
      <c r="A45" s="34"/>
      <c r="B45" s="381">
        <v>45489</v>
      </c>
      <c r="C45" s="36" t="s">
        <v>335</v>
      </c>
      <c r="D45" s="36" t="s">
        <v>1030</v>
      </c>
      <c r="E45" s="36" t="s">
        <v>29</v>
      </c>
      <c r="F45" s="34"/>
      <c r="G45" s="37">
        <v>10000</v>
      </c>
      <c r="H45" s="37"/>
      <c r="I45" s="86">
        <f>I44+G45</f>
        <v>218726.39999999994</v>
      </c>
      <c r="J45" s="86"/>
      <c r="K45" s="39"/>
      <c r="L45" s="39"/>
      <c r="M45" s="391">
        <f t="shared" si="0"/>
        <v>3698</v>
      </c>
      <c r="N45" s="181" t="s">
        <v>996</v>
      </c>
      <c r="O45" s="34" t="s">
        <v>8</v>
      </c>
      <c r="P45" s="34" t="s">
        <v>886</v>
      </c>
    </row>
    <row r="46" spans="1:16" ht="30" x14ac:dyDescent="0.25">
      <c r="A46" s="34"/>
      <c r="B46" s="381">
        <v>45491</v>
      </c>
      <c r="C46" s="36" t="s">
        <v>1010</v>
      </c>
      <c r="D46" s="36" t="s">
        <v>688</v>
      </c>
      <c r="E46" s="36" t="s">
        <v>994</v>
      </c>
      <c r="F46" s="34"/>
      <c r="G46" s="37">
        <v>2500</v>
      </c>
      <c r="H46" s="37"/>
      <c r="I46" s="86">
        <f>I45+G46</f>
        <v>221226.39999999994</v>
      </c>
      <c r="J46" s="86"/>
      <c r="K46" s="39"/>
      <c r="L46" s="39"/>
      <c r="M46" s="391">
        <f t="shared" si="0"/>
        <v>3698</v>
      </c>
      <c r="N46" s="181" t="s">
        <v>997</v>
      </c>
      <c r="O46" s="34" t="s">
        <v>8</v>
      </c>
      <c r="P46" s="34" t="s">
        <v>886</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998</v>
      </c>
      <c r="O47" s="34" t="s">
        <v>106</v>
      </c>
      <c r="P47" s="34" t="s">
        <v>858</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999</v>
      </c>
      <c r="O48" s="34" t="s">
        <v>121</v>
      </c>
      <c r="P48" s="34" t="s">
        <v>858</v>
      </c>
    </row>
    <row r="49" spans="1:16" x14ac:dyDescent="0.25">
      <c r="A49" s="378"/>
      <c r="B49" s="396">
        <v>45506</v>
      </c>
      <c r="C49" s="233" t="s">
        <v>245</v>
      </c>
      <c r="D49" s="233" t="s">
        <v>961</v>
      </c>
      <c r="E49" s="233"/>
      <c r="F49" s="34"/>
      <c r="G49" s="37">
        <v>1356</v>
      </c>
      <c r="H49" s="37"/>
      <c r="I49" s="86">
        <f t="shared" ref="I49:I55" si="4">I48+G49</f>
        <v>157083.54999999993</v>
      </c>
      <c r="J49" s="86"/>
      <c r="K49" s="39"/>
      <c r="L49" s="39"/>
      <c r="M49" s="391">
        <f t="shared" si="0"/>
        <v>3698</v>
      </c>
      <c r="N49" s="181"/>
      <c r="O49" s="34" t="s">
        <v>245</v>
      </c>
      <c r="P49" s="34" t="s">
        <v>886</v>
      </c>
    </row>
    <row r="50" spans="1:16" ht="30" x14ac:dyDescent="0.25">
      <c r="A50" s="34"/>
      <c r="B50" s="381">
        <v>45531</v>
      </c>
      <c r="C50" s="36" t="s">
        <v>1000</v>
      </c>
      <c r="D50" s="36" t="s">
        <v>770</v>
      </c>
      <c r="E50" s="36" t="s">
        <v>37</v>
      </c>
      <c r="F50" s="34"/>
      <c r="G50" s="37">
        <v>2500</v>
      </c>
      <c r="H50" s="37"/>
      <c r="I50" s="86">
        <f t="shared" si="4"/>
        <v>159583.54999999993</v>
      </c>
      <c r="J50" s="86"/>
      <c r="K50" s="39"/>
      <c r="L50" s="39"/>
      <c r="M50" s="391">
        <f t="shared" si="0"/>
        <v>3698</v>
      </c>
      <c r="N50" s="181" t="s">
        <v>1001</v>
      </c>
      <c r="O50" s="34" t="s">
        <v>8</v>
      </c>
      <c r="P50" s="34" t="s">
        <v>886</v>
      </c>
    </row>
    <row r="51" spans="1:16" ht="30" x14ac:dyDescent="0.25">
      <c r="A51" s="34"/>
      <c r="B51" s="381">
        <v>45532</v>
      </c>
      <c r="C51" s="36" t="s">
        <v>586</v>
      </c>
      <c r="D51" s="36" t="s">
        <v>1032</v>
      </c>
      <c r="E51" s="36" t="s">
        <v>23</v>
      </c>
      <c r="F51" s="34"/>
      <c r="G51" s="37">
        <v>2500</v>
      </c>
      <c r="H51" s="37"/>
      <c r="I51" s="86">
        <f t="shared" si="4"/>
        <v>162083.54999999993</v>
      </c>
      <c r="J51" s="86"/>
      <c r="K51" s="39"/>
      <c r="L51" s="39"/>
      <c r="M51" s="391">
        <f t="shared" si="0"/>
        <v>3698</v>
      </c>
      <c r="N51" s="181" t="s">
        <v>1031</v>
      </c>
      <c r="O51" s="34" t="s">
        <v>8</v>
      </c>
      <c r="P51" s="34" t="s">
        <v>886</v>
      </c>
    </row>
    <row r="52" spans="1:16" ht="90" x14ac:dyDescent="0.25">
      <c r="A52" s="34"/>
      <c r="B52" s="381">
        <v>45532</v>
      </c>
      <c r="C52" s="36" t="s">
        <v>1003</v>
      </c>
      <c r="D52" s="36" t="s">
        <v>1004</v>
      </c>
      <c r="E52" s="36" t="s">
        <v>989</v>
      </c>
      <c r="F52" s="34"/>
      <c r="G52" s="37">
        <v>2500</v>
      </c>
      <c r="H52" s="37"/>
      <c r="I52" s="86">
        <f>I51+G52</f>
        <v>164583.54999999993</v>
      </c>
      <c r="J52" s="86"/>
      <c r="K52" s="39"/>
      <c r="L52" s="39"/>
      <c r="M52" s="391">
        <f t="shared" si="0"/>
        <v>3698</v>
      </c>
      <c r="N52" s="181" t="s">
        <v>1002</v>
      </c>
      <c r="O52" s="34" t="s">
        <v>8</v>
      </c>
      <c r="P52" s="34" t="s">
        <v>886</v>
      </c>
    </row>
    <row r="53" spans="1:16" ht="30" x14ac:dyDescent="0.25">
      <c r="A53" s="34"/>
      <c r="B53" s="381">
        <v>45534</v>
      </c>
      <c r="C53" s="36" t="s">
        <v>679</v>
      </c>
      <c r="D53" s="36" t="s">
        <v>1006</v>
      </c>
      <c r="E53" s="36" t="s">
        <v>991</v>
      </c>
      <c r="F53" s="34"/>
      <c r="G53" s="37">
        <v>10000</v>
      </c>
      <c r="H53" s="37"/>
      <c r="I53" s="86">
        <f t="shared" si="4"/>
        <v>174583.54999999993</v>
      </c>
      <c r="J53" s="86"/>
      <c r="K53" s="39"/>
      <c r="L53" s="39"/>
      <c r="M53" s="391">
        <f t="shared" si="0"/>
        <v>3698</v>
      </c>
      <c r="N53" s="181" t="s">
        <v>1007</v>
      </c>
      <c r="O53" s="34" t="s">
        <v>8</v>
      </c>
      <c r="P53" s="34" t="s">
        <v>886</v>
      </c>
    </row>
    <row r="54" spans="1:16" ht="60" x14ac:dyDescent="0.25">
      <c r="A54" s="34"/>
      <c r="B54" s="381">
        <v>45534</v>
      </c>
      <c r="C54" s="36" t="s">
        <v>653</v>
      </c>
      <c r="D54" s="36" t="s">
        <v>654</v>
      </c>
      <c r="E54" s="36" t="s">
        <v>994</v>
      </c>
      <c r="F54" s="34"/>
      <c r="G54" s="37">
        <v>7500</v>
      </c>
      <c r="H54" s="37"/>
      <c r="I54" s="86">
        <f t="shared" si="4"/>
        <v>182083.54999999993</v>
      </c>
      <c r="J54" s="86"/>
      <c r="K54" s="39"/>
      <c r="L54" s="39"/>
      <c r="M54" s="391">
        <f t="shared" si="0"/>
        <v>3698</v>
      </c>
      <c r="N54" s="181" t="s">
        <v>1005</v>
      </c>
      <c r="O54" s="34" t="s">
        <v>8</v>
      </c>
      <c r="P54" s="34" t="s">
        <v>886</v>
      </c>
    </row>
    <row r="55" spans="1:16" ht="90" x14ac:dyDescent="0.25">
      <c r="A55" s="34"/>
      <c r="B55" s="381">
        <v>45535</v>
      </c>
      <c r="C55" s="36" t="s">
        <v>1008</v>
      </c>
      <c r="D55" s="36" t="s">
        <v>37</v>
      </c>
      <c r="E55" s="36" t="s">
        <v>993</v>
      </c>
      <c r="F55" s="34"/>
      <c r="G55" s="37">
        <v>3000</v>
      </c>
      <c r="H55" s="37"/>
      <c r="I55" s="86">
        <f t="shared" si="4"/>
        <v>185083.54999999993</v>
      </c>
      <c r="J55" s="86"/>
      <c r="K55" s="39"/>
      <c r="L55" s="39"/>
      <c r="M55" s="391">
        <f t="shared" si="0"/>
        <v>3698</v>
      </c>
      <c r="N55" s="181" t="s">
        <v>1009</v>
      </c>
      <c r="O55" s="34" t="s">
        <v>8</v>
      </c>
      <c r="P55" s="34" t="s">
        <v>886</v>
      </c>
    </row>
    <row r="56" spans="1:16" ht="60" x14ac:dyDescent="0.25">
      <c r="A56" s="34"/>
      <c r="B56" s="381">
        <v>45535</v>
      </c>
      <c r="C56" s="36" t="s">
        <v>103</v>
      </c>
      <c r="D56" s="36" t="s">
        <v>1012</v>
      </c>
      <c r="E56" s="36" t="s">
        <v>989</v>
      </c>
      <c r="F56" s="34"/>
      <c r="G56" s="37">
        <v>2500</v>
      </c>
      <c r="H56" s="37"/>
      <c r="I56" s="86">
        <f t="shared" ref="I56:I84" si="5">I55+G56</f>
        <v>187583.54999999993</v>
      </c>
      <c r="J56" s="86"/>
      <c r="K56" s="39"/>
      <c r="L56" s="39"/>
      <c r="M56" s="391">
        <f t="shared" si="0"/>
        <v>3698</v>
      </c>
      <c r="N56" s="181" t="s">
        <v>1011</v>
      </c>
      <c r="O56" s="34" t="s">
        <v>8</v>
      </c>
      <c r="P56" s="34" t="s">
        <v>886</v>
      </c>
    </row>
    <row r="57" spans="1:16" ht="75" x14ac:dyDescent="0.25">
      <c r="A57" s="34"/>
      <c r="B57" s="381">
        <v>45536</v>
      </c>
      <c r="C57" s="36" t="s">
        <v>1014</v>
      </c>
      <c r="D57" s="36" t="s">
        <v>1015</v>
      </c>
      <c r="E57" s="36" t="s">
        <v>23</v>
      </c>
      <c r="F57" s="34"/>
      <c r="G57" s="37">
        <v>2500</v>
      </c>
      <c r="H57" s="37"/>
      <c r="I57" s="86">
        <f t="shared" si="5"/>
        <v>190083.54999999993</v>
      </c>
      <c r="J57" s="86"/>
      <c r="K57" s="39"/>
      <c r="L57" s="39"/>
      <c r="M57" s="391">
        <f t="shared" si="0"/>
        <v>3698</v>
      </c>
      <c r="N57" s="181" t="s">
        <v>1013</v>
      </c>
      <c r="O57" s="34" t="s">
        <v>8</v>
      </c>
      <c r="P57" s="34" t="s">
        <v>886</v>
      </c>
    </row>
    <row r="58" spans="1:16" ht="75" x14ac:dyDescent="0.25">
      <c r="A58" s="34"/>
      <c r="B58" s="381">
        <v>45536</v>
      </c>
      <c r="C58" s="36" t="s">
        <v>457</v>
      </c>
      <c r="D58" s="36" t="s">
        <v>1016</v>
      </c>
      <c r="E58" s="36" t="s">
        <v>993</v>
      </c>
      <c r="F58" s="34"/>
      <c r="G58" s="37">
        <v>5000</v>
      </c>
      <c r="H58" s="37"/>
      <c r="I58" s="86">
        <f t="shared" si="5"/>
        <v>195083.54999999993</v>
      </c>
      <c r="J58" s="86"/>
      <c r="K58" s="39"/>
      <c r="L58" s="39"/>
      <c r="M58" s="391">
        <f t="shared" si="0"/>
        <v>3698</v>
      </c>
      <c r="N58" s="181" t="s">
        <v>1017</v>
      </c>
      <c r="O58" s="34"/>
      <c r="P58" s="34"/>
    </row>
    <row r="59" spans="1:16" ht="75" x14ac:dyDescent="0.25">
      <c r="A59" s="378"/>
      <c r="B59" s="381">
        <v>45536</v>
      </c>
      <c r="C59" s="36" t="s">
        <v>15</v>
      </c>
      <c r="D59" s="36" t="s">
        <v>1049</v>
      </c>
      <c r="E59" s="36" t="s">
        <v>29</v>
      </c>
      <c r="F59" s="34"/>
      <c r="G59" s="37">
        <v>2512</v>
      </c>
      <c r="H59" s="37"/>
      <c r="I59" s="86">
        <f t="shared" si="5"/>
        <v>197595.54999999993</v>
      </c>
      <c r="J59" s="86"/>
      <c r="K59" s="39"/>
      <c r="L59" s="39"/>
      <c r="M59" s="391">
        <f t="shared" si="0"/>
        <v>3698</v>
      </c>
      <c r="N59" s="181" t="s">
        <v>1018</v>
      </c>
      <c r="O59" s="34" t="s">
        <v>8</v>
      </c>
      <c r="P59" s="34" t="s">
        <v>886</v>
      </c>
    </row>
    <row r="60" spans="1:16" ht="90" x14ac:dyDescent="0.25">
      <c r="A60" s="34"/>
      <c r="B60" s="381">
        <v>45536</v>
      </c>
      <c r="C60" s="36" t="s">
        <v>312</v>
      </c>
      <c r="D60" s="36" t="s">
        <v>37</v>
      </c>
      <c r="E60" s="36" t="s">
        <v>993</v>
      </c>
      <c r="F60" s="34"/>
      <c r="G60" s="37">
        <v>2500</v>
      </c>
      <c r="H60" s="37"/>
      <c r="I60" s="86">
        <f t="shared" si="5"/>
        <v>200095.54999999993</v>
      </c>
      <c r="J60" s="86"/>
      <c r="K60" s="39"/>
      <c r="L60" s="39"/>
      <c r="M60" s="391">
        <f t="shared" si="0"/>
        <v>3698</v>
      </c>
      <c r="N60" s="181" t="s">
        <v>1019</v>
      </c>
      <c r="O60" s="34" t="s">
        <v>8</v>
      </c>
      <c r="P60" s="34" t="s">
        <v>886</v>
      </c>
    </row>
    <row r="61" spans="1:16" ht="75" x14ac:dyDescent="0.25">
      <c r="A61" s="34"/>
      <c r="B61" s="381">
        <v>45536</v>
      </c>
      <c r="C61" s="36" t="s">
        <v>1021</v>
      </c>
      <c r="D61" s="36" t="s">
        <v>435</v>
      </c>
      <c r="E61" s="36" t="s">
        <v>989</v>
      </c>
      <c r="F61" s="34"/>
      <c r="G61" s="37">
        <v>1500</v>
      </c>
      <c r="H61" s="37"/>
      <c r="I61" s="86">
        <f t="shared" si="5"/>
        <v>201595.54999999993</v>
      </c>
      <c r="J61" s="86"/>
      <c r="K61" s="39"/>
      <c r="L61" s="39"/>
      <c r="M61" s="391">
        <f t="shared" si="0"/>
        <v>3698</v>
      </c>
      <c r="N61" s="181" t="s">
        <v>1020</v>
      </c>
      <c r="O61" s="34" t="s">
        <v>8</v>
      </c>
      <c r="P61" s="34" t="s">
        <v>886</v>
      </c>
    </row>
    <row r="62" spans="1:16" ht="75" x14ac:dyDescent="0.25">
      <c r="A62" s="34"/>
      <c r="B62" s="381">
        <v>45541</v>
      </c>
      <c r="C62" s="36" t="s">
        <v>631</v>
      </c>
      <c r="D62" s="36" t="s">
        <v>37</v>
      </c>
      <c r="E62" s="36" t="s">
        <v>993</v>
      </c>
      <c r="F62" s="34"/>
      <c r="G62" s="37">
        <v>2500</v>
      </c>
      <c r="H62" s="37"/>
      <c r="I62" s="86">
        <f t="shared" si="5"/>
        <v>204095.54999999993</v>
      </c>
      <c r="J62" s="86"/>
      <c r="K62" s="39"/>
      <c r="L62" s="39"/>
      <c r="M62" s="391">
        <f t="shared" si="0"/>
        <v>3698</v>
      </c>
      <c r="N62" s="181" t="s">
        <v>1022</v>
      </c>
      <c r="O62" s="34" t="s">
        <v>8</v>
      </c>
      <c r="P62" s="34" t="s">
        <v>886</v>
      </c>
    </row>
    <row r="63" spans="1:16" ht="45" x14ac:dyDescent="0.25">
      <c r="A63" s="34"/>
      <c r="B63" s="381">
        <v>45541</v>
      </c>
      <c r="C63" s="36" t="s">
        <v>1024</v>
      </c>
      <c r="D63" s="36" t="s">
        <v>692</v>
      </c>
      <c r="E63" s="36" t="s">
        <v>29</v>
      </c>
      <c r="F63" s="34"/>
      <c r="G63" s="37">
        <v>15000</v>
      </c>
      <c r="H63" s="37"/>
      <c r="I63" s="86">
        <f t="shared" si="5"/>
        <v>219095.54999999993</v>
      </c>
      <c r="J63" s="86"/>
      <c r="K63" s="39"/>
      <c r="L63" s="39"/>
      <c r="M63" s="391">
        <f t="shared" si="0"/>
        <v>3698</v>
      </c>
      <c r="N63" s="181" t="s">
        <v>1023</v>
      </c>
      <c r="O63" s="34" t="s">
        <v>8</v>
      </c>
      <c r="P63" s="34" t="s">
        <v>886</v>
      </c>
    </row>
    <row r="64" spans="1:16" ht="90" x14ac:dyDescent="0.25">
      <c r="A64" s="34"/>
      <c r="B64" s="381">
        <v>45541</v>
      </c>
      <c r="C64" s="36" t="s">
        <v>1026</v>
      </c>
      <c r="D64" s="36" t="s">
        <v>1027</v>
      </c>
      <c r="E64" s="36" t="s">
        <v>29</v>
      </c>
      <c r="F64" s="34"/>
      <c r="G64" s="37">
        <v>2500</v>
      </c>
      <c r="H64" s="37"/>
      <c r="I64" s="86">
        <f t="shared" si="5"/>
        <v>221595.54999999993</v>
      </c>
      <c r="J64" s="86"/>
      <c r="K64" s="39"/>
      <c r="L64" s="39"/>
      <c r="M64" s="391">
        <f t="shared" si="0"/>
        <v>3698</v>
      </c>
      <c r="N64" s="181" t="s">
        <v>1025</v>
      </c>
      <c r="O64" s="34" t="s">
        <v>8</v>
      </c>
      <c r="P64" s="34" t="s">
        <v>886</v>
      </c>
    </row>
    <row r="65" spans="1:16" ht="60" x14ac:dyDescent="0.25">
      <c r="A65" s="34"/>
      <c r="B65" s="381">
        <v>45541</v>
      </c>
      <c r="C65" s="36" t="s">
        <v>81</v>
      </c>
      <c r="D65" s="36" t="s">
        <v>1028</v>
      </c>
      <c r="E65" s="36" t="s">
        <v>992</v>
      </c>
      <c r="F65" s="34"/>
      <c r="G65" s="37">
        <v>7500</v>
      </c>
      <c r="H65" s="37"/>
      <c r="I65" s="86">
        <f t="shared" si="5"/>
        <v>229095.54999999993</v>
      </c>
      <c r="J65" s="86"/>
      <c r="K65" s="39"/>
      <c r="L65" s="39"/>
      <c r="M65" s="391">
        <f t="shared" si="0"/>
        <v>3698</v>
      </c>
      <c r="N65" s="181" t="s">
        <v>1029</v>
      </c>
      <c r="O65" s="34" t="s">
        <v>8</v>
      </c>
      <c r="P65" s="34" t="s">
        <v>886</v>
      </c>
    </row>
    <row r="66" spans="1:16" ht="60" x14ac:dyDescent="0.25">
      <c r="A66" s="34"/>
      <c r="B66" s="381">
        <v>45543</v>
      </c>
      <c r="C66" s="36" t="s">
        <v>63</v>
      </c>
      <c r="D66" s="36" t="s">
        <v>300</v>
      </c>
      <c r="E66" s="36" t="s">
        <v>993</v>
      </c>
      <c r="F66" s="34"/>
      <c r="G66" s="37">
        <v>2500</v>
      </c>
      <c r="H66" s="37"/>
      <c r="I66" s="86">
        <f t="shared" si="5"/>
        <v>231595.54999999993</v>
      </c>
      <c r="J66" s="86"/>
      <c r="K66" s="39"/>
      <c r="L66" s="39"/>
      <c r="M66" s="391">
        <f t="shared" si="0"/>
        <v>3698</v>
      </c>
      <c r="N66" s="181" t="s">
        <v>1033</v>
      </c>
      <c r="O66" s="34" t="s">
        <v>8</v>
      </c>
      <c r="P66" s="34" t="s">
        <v>886</v>
      </c>
    </row>
    <row r="67" spans="1:16" ht="75" x14ac:dyDescent="0.25">
      <c r="A67" s="34"/>
      <c r="B67" s="381">
        <v>45544</v>
      </c>
      <c r="C67" s="36" t="s">
        <v>834</v>
      </c>
      <c r="D67" s="36" t="s">
        <v>832</v>
      </c>
      <c r="E67" s="36" t="s">
        <v>29</v>
      </c>
      <c r="F67" s="34"/>
      <c r="G67" s="37">
        <v>2500</v>
      </c>
      <c r="H67" s="37"/>
      <c r="I67" s="86">
        <f t="shared" si="5"/>
        <v>234095.54999999993</v>
      </c>
      <c r="J67" s="86"/>
      <c r="K67" s="39"/>
      <c r="L67" s="39"/>
      <c r="M67" s="391">
        <f t="shared" si="0"/>
        <v>3698</v>
      </c>
      <c r="N67" s="181" t="s">
        <v>1034</v>
      </c>
      <c r="O67" s="34" t="s">
        <v>8</v>
      </c>
      <c r="P67" s="34" t="s">
        <v>886</v>
      </c>
    </row>
    <row r="68" spans="1:16" ht="41.25" customHeight="1" x14ac:dyDescent="0.25">
      <c r="A68" s="34"/>
      <c r="B68" s="381">
        <v>45546</v>
      </c>
      <c r="C68" s="36" t="s">
        <v>1036</v>
      </c>
      <c r="D68" s="36" t="s">
        <v>1037</v>
      </c>
      <c r="E68" s="36" t="s">
        <v>993</v>
      </c>
      <c r="F68" s="34"/>
      <c r="G68" s="37">
        <v>7500</v>
      </c>
      <c r="H68" s="37"/>
      <c r="I68" s="86">
        <f t="shared" si="5"/>
        <v>241595.54999999993</v>
      </c>
      <c r="J68" s="86"/>
      <c r="K68" s="39"/>
      <c r="L68" s="39"/>
      <c r="M68" s="391">
        <f t="shared" si="0"/>
        <v>3698</v>
      </c>
      <c r="N68" s="181" t="s">
        <v>1038</v>
      </c>
      <c r="O68" s="34" t="s">
        <v>8</v>
      </c>
      <c r="P68" s="34" t="s">
        <v>886</v>
      </c>
    </row>
    <row r="69" spans="1:16" ht="30" x14ac:dyDescent="0.25">
      <c r="A69" s="34"/>
      <c r="B69" s="381">
        <v>45547</v>
      </c>
      <c r="C69" s="36" t="s">
        <v>766</v>
      </c>
      <c r="D69" s="36" t="s">
        <v>1040</v>
      </c>
      <c r="E69" s="36" t="s">
        <v>992</v>
      </c>
      <c r="F69" s="34"/>
      <c r="G69" s="37">
        <v>2500</v>
      </c>
      <c r="H69" s="37"/>
      <c r="I69" s="86">
        <f t="shared" si="5"/>
        <v>244095.54999999993</v>
      </c>
      <c r="J69" s="86"/>
      <c r="K69" s="39"/>
      <c r="L69" s="39"/>
      <c r="M69" s="391">
        <f t="shared" si="0"/>
        <v>3698</v>
      </c>
      <c r="N69" s="181" t="s">
        <v>1039</v>
      </c>
      <c r="O69" s="34" t="s">
        <v>8</v>
      </c>
      <c r="P69" s="34" t="s">
        <v>886</v>
      </c>
    </row>
    <row r="70" spans="1:16" ht="45" x14ac:dyDescent="0.25">
      <c r="A70" s="34"/>
      <c r="B70" s="381">
        <v>45548</v>
      </c>
      <c r="C70" s="36" t="s">
        <v>1042</v>
      </c>
      <c r="D70" s="36" t="s">
        <v>1043</v>
      </c>
      <c r="E70" s="36" t="s">
        <v>1044</v>
      </c>
      <c r="F70" s="34"/>
      <c r="G70" s="37">
        <v>2500</v>
      </c>
      <c r="H70" s="37"/>
      <c r="I70" s="86">
        <f t="shared" si="5"/>
        <v>246595.54999999993</v>
      </c>
      <c r="J70" s="86"/>
      <c r="K70" s="39"/>
      <c r="L70" s="39"/>
      <c r="M70" s="391">
        <f t="shared" si="0"/>
        <v>3698</v>
      </c>
      <c r="N70" s="181" t="s">
        <v>1041</v>
      </c>
      <c r="O70" s="34" t="s">
        <v>8</v>
      </c>
      <c r="P70" s="34" t="s">
        <v>886</v>
      </c>
    </row>
    <row r="71" spans="1:16" ht="30" x14ac:dyDescent="0.25">
      <c r="A71" s="34"/>
      <c r="B71" s="381">
        <v>45548</v>
      </c>
      <c r="C71" s="36" t="s">
        <v>696</v>
      </c>
      <c r="D71" s="36" t="s">
        <v>1046</v>
      </c>
      <c r="E71" s="36" t="s">
        <v>992</v>
      </c>
      <c r="F71" s="34"/>
      <c r="G71" s="37">
        <v>2500</v>
      </c>
      <c r="H71" s="37"/>
      <c r="I71" s="86">
        <f t="shared" si="5"/>
        <v>249095.54999999993</v>
      </c>
      <c r="J71" s="86"/>
      <c r="K71" s="39"/>
      <c r="L71" s="39"/>
      <c r="M71" s="391">
        <f t="shared" si="0"/>
        <v>3698</v>
      </c>
      <c r="N71" s="181" t="s">
        <v>1045</v>
      </c>
      <c r="O71" s="34" t="s">
        <v>8</v>
      </c>
      <c r="P71" s="34" t="s">
        <v>886</v>
      </c>
    </row>
    <row r="72" spans="1:16" x14ac:dyDescent="0.25">
      <c r="A72" s="398"/>
      <c r="B72" s="398">
        <v>45548</v>
      </c>
      <c r="C72" s="398" t="s">
        <v>1048</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1050</v>
      </c>
      <c r="D73" s="36"/>
      <c r="E73" s="36"/>
      <c r="F73" s="34"/>
      <c r="G73" s="37">
        <v>1500</v>
      </c>
      <c r="H73" s="37"/>
      <c r="I73" s="86">
        <f t="shared" si="5"/>
        <v>250595.54999999993</v>
      </c>
      <c r="J73" s="86"/>
      <c r="K73" s="39"/>
      <c r="L73" s="39"/>
      <c r="M73" s="391">
        <v>1698</v>
      </c>
      <c r="N73" s="181" t="s">
        <v>1051</v>
      </c>
      <c r="O73" s="34" t="s">
        <v>8</v>
      </c>
      <c r="P73" s="34" t="s">
        <v>886</v>
      </c>
    </row>
    <row r="74" spans="1:16" ht="60" x14ac:dyDescent="0.25">
      <c r="A74" s="34"/>
      <c r="B74" s="381">
        <v>45550</v>
      </c>
      <c r="C74" s="36" t="s">
        <v>1053</v>
      </c>
      <c r="D74" s="36" t="s">
        <v>1054</v>
      </c>
      <c r="E74" s="36" t="s">
        <v>29</v>
      </c>
      <c r="F74" s="34"/>
      <c r="G74" s="37">
        <v>2500</v>
      </c>
      <c r="H74" s="37"/>
      <c r="I74" s="86">
        <f t="shared" si="5"/>
        <v>253095.54999999993</v>
      </c>
      <c r="J74" s="86"/>
      <c r="K74" s="39"/>
      <c r="L74" s="39"/>
      <c r="M74" s="391">
        <v>1698</v>
      </c>
      <c r="N74" s="181" t="s">
        <v>1052</v>
      </c>
      <c r="O74" s="34" t="s">
        <v>8</v>
      </c>
      <c r="P74" s="34" t="s">
        <v>886</v>
      </c>
    </row>
    <row r="75" spans="1:16" ht="90" x14ac:dyDescent="0.25">
      <c r="A75" s="400"/>
      <c r="B75" s="381">
        <v>45554</v>
      </c>
      <c r="C75" s="36" t="s">
        <v>1067</v>
      </c>
      <c r="D75" s="36" t="s">
        <v>225</v>
      </c>
      <c r="E75" s="36" t="s">
        <v>989</v>
      </c>
      <c r="F75" s="34"/>
      <c r="G75" s="37">
        <v>2500</v>
      </c>
      <c r="H75" s="37"/>
      <c r="I75" s="86">
        <f t="shared" si="5"/>
        <v>255595.54999999993</v>
      </c>
      <c r="J75" s="86"/>
      <c r="K75" s="39"/>
      <c r="L75" s="39"/>
      <c r="M75" s="391">
        <v>1698</v>
      </c>
      <c r="N75" s="181" t="s">
        <v>1055</v>
      </c>
      <c r="O75" s="34" t="s">
        <v>8</v>
      </c>
      <c r="P75" s="34" t="s">
        <v>886</v>
      </c>
    </row>
    <row r="76" spans="1:16" ht="30" x14ac:dyDescent="0.25">
      <c r="A76" s="34"/>
      <c r="B76" s="381">
        <v>45556</v>
      </c>
      <c r="C76" s="36" t="s">
        <v>237</v>
      </c>
      <c r="D76" s="36" t="s">
        <v>1047</v>
      </c>
      <c r="E76" s="36" t="s">
        <v>1044</v>
      </c>
      <c r="F76" s="34"/>
      <c r="G76" s="37">
        <v>5000</v>
      </c>
      <c r="H76" s="37"/>
      <c r="I76" s="86">
        <f t="shared" si="5"/>
        <v>260595.54999999993</v>
      </c>
      <c r="J76" s="86"/>
      <c r="K76" s="39"/>
      <c r="L76" s="39"/>
      <c r="M76" s="391">
        <v>1698</v>
      </c>
      <c r="N76" s="181" t="s">
        <v>1056</v>
      </c>
      <c r="O76" s="34" t="s">
        <v>8</v>
      </c>
      <c r="P76" s="34" t="s">
        <v>886</v>
      </c>
    </row>
    <row r="77" spans="1:16" x14ac:dyDescent="0.25">
      <c r="A77" s="271"/>
      <c r="B77" s="381">
        <v>45558</v>
      </c>
      <c r="C77" s="36" t="s">
        <v>1099</v>
      </c>
      <c r="D77" s="36" t="s">
        <v>37</v>
      </c>
      <c r="E77" s="36"/>
      <c r="F77" s="34"/>
      <c r="G77" s="37">
        <v>2500</v>
      </c>
      <c r="H77" s="37"/>
      <c r="I77" s="86">
        <f t="shared" si="5"/>
        <v>263095.54999999993</v>
      </c>
      <c r="J77" s="86"/>
      <c r="K77" s="39"/>
      <c r="L77" s="39"/>
      <c r="M77" s="391">
        <v>1698</v>
      </c>
      <c r="N77" s="181" t="s">
        <v>1057</v>
      </c>
      <c r="O77" s="34" t="s">
        <v>8</v>
      </c>
      <c r="P77" s="34" t="s">
        <v>886</v>
      </c>
    </row>
    <row r="78" spans="1:16" ht="30" x14ac:dyDescent="0.25">
      <c r="A78" s="34"/>
      <c r="B78" s="381">
        <v>45558</v>
      </c>
      <c r="C78" s="36" t="s">
        <v>1058</v>
      </c>
      <c r="D78" s="36" t="s">
        <v>37</v>
      </c>
      <c r="E78" s="36" t="s">
        <v>993</v>
      </c>
      <c r="F78" s="34"/>
      <c r="G78" s="37">
        <v>3000</v>
      </c>
      <c r="H78" s="37"/>
      <c r="I78" s="86">
        <f t="shared" si="5"/>
        <v>266095.54999999993</v>
      </c>
      <c r="J78" s="86"/>
      <c r="K78" s="39"/>
      <c r="L78" s="39"/>
      <c r="M78" s="391">
        <v>1698</v>
      </c>
      <c r="N78" s="181" t="s">
        <v>1059</v>
      </c>
      <c r="O78" s="34" t="s">
        <v>8</v>
      </c>
      <c r="P78" s="34" t="s">
        <v>886</v>
      </c>
    </row>
    <row r="79" spans="1:16" ht="45" x14ac:dyDescent="0.25">
      <c r="A79" s="34"/>
      <c r="B79" s="381">
        <v>45558</v>
      </c>
      <c r="C79" s="36" t="s">
        <v>1060</v>
      </c>
      <c r="D79" s="36" t="s">
        <v>1061</v>
      </c>
      <c r="E79" s="36" t="s">
        <v>991</v>
      </c>
      <c r="F79" s="34"/>
      <c r="G79" s="37">
        <v>2500</v>
      </c>
      <c r="H79" s="37"/>
      <c r="I79" s="86">
        <f t="shared" si="5"/>
        <v>268595.54999999993</v>
      </c>
      <c r="J79" s="86"/>
      <c r="K79" s="39"/>
      <c r="L79" s="39"/>
      <c r="M79" s="391">
        <v>1698</v>
      </c>
      <c r="N79" s="181" t="s">
        <v>1062</v>
      </c>
      <c r="O79" s="34" t="s">
        <v>8</v>
      </c>
      <c r="P79" s="34" t="s">
        <v>886</v>
      </c>
    </row>
    <row r="80" spans="1:16" ht="30" x14ac:dyDescent="0.25">
      <c r="A80" s="34"/>
      <c r="B80" s="381">
        <v>45558</v>
      </c>
      <c r="C80" s="36" t="s">
        <v>276</v>
      </c>
      <c r="D80" s="36" t="s">
        <v>37</v>
      </c>
      <c r="E80" s="36" t="s">
        <v>993</v>
      </c>
      <c r="F80" s="34"/>
      <c r="G80" s="37">
        <v>2500</v>
      </c>
      <c r="H80" s="37"/>
      <c r="I80" s="86">
        <f t="shared" si="5"/>
        <v>271095.54999999993</v>
      </c>
      <c r="J80" s="86"/>
      <c r="K80" s="39"/>
      <c r="L80" s="39"/>
      <c r="M80" s="391">
        <v>1698</v>
      </c>
      <c r="N80" s="181" t="s">
        <v>1063</v>
      </c>
      <c r="O80" s="34" t="s">
        <v>8</v>
      </c>
      <c r="P80" s="34" t="s">
        <v>886</v>
      </c>
    </row>
    <row r="81" spans="1:16" x14ac:dyDescent="0.25">
      <c r="A81" s="271"/>
      <c r="B81" s="381">
        <v>45558</v>
      </c>
      <c r="C81" s="36" t="s">
        <v>97</v>
      </c>
      <c r="D81" s="36" t="s">
        <v>37</v>
      </c>
      <c r="E81" s="36" t="s">
        <v>989</v>
      </c>
      <c r="F81" s="34"/>
      <c r="G81" s="37">
        <v>2500</v>
      </c>
      <c r="H81" s="37"/>
      <c r="I81" s="86">
        <f t="shared" si="5"/>
        <v>273595.54999999993</v>
      </c>
      <c r="J81" s="86"/>
      <c r="K81" s="39"/>
      <c r="L81" s="39"/>
      <c r="M81" s="391">
        <v>1698</v>
      </c>
      <c r="N81" s="181" t="s">
        <v>1076</v>
      </c>
      <c r="O81" s="34" t="s">
        <v>8</v>
      </c>
      <c r="P81" s="34" t="s">
        <v>886</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858</v>
      </c>
    </row>
    <row r="83" spans="1:16" ht="30" x14ac:dyDescent="0.25">
      <c r="A83" s="36"/>
      <c r="B83" s="381">
        <v>45565</v>
      </c>
      <c r="C83" s="36" t="s">
        <v>89</v>
      </c>
      <c r="D83" s="36" t="s">
        <v>1065</v>
      </c>
      <c r="E83" s="36" t="s">
        <v>993</v>
      </c>
      <c r="F83" s="34"/>
      <c r="G83" s="37">
        <v>2500</v>
      </c>
      <c r="H83" s="37"/>
      <c r="I83" s="86">
        <f t="shared" si="5"/>
        <v>276094.36999999994</v>
      </c>
      <c r="J83" s="86"/>
      <c r="K83" s="39"/>
      <c r="L83" s="39"/>
      <c r="M83" s="391">
        <v>1698</v>
      </c>
      <c r="N83" s="181" t="s">
        <v>1064</v>
      </c>
      <c r="O83" s="34" t="s">
        <v>8</v>
      </c>
      <c r="P83" s="34" t="s">
        <v>886</v>
      </c>
    </row>
    <row r="84" spans="1:16" ht="30" x14ac:dyDescent="0.25">
      <c r="A84" s="36"/>
      <c r="B84" s="381">
        <v>45565</v>
      </c>
      <c r="C84" s="36" t="s">
        <v>361</v>
      </c>
      <c r="D84" s="36" t="s">
        <v>366</v>
      </c>
      <c r="E84" s="36" t="s">
        <v>993</v>
      </c>
      <c r="F84" s="34"/>
      <c r="G84" s="37">
        <v>2500</v>
      </c>
      <c r="H84" s="37"/>
      <c r="I84" s="86">
        <f t="shared" si="5"/>
        <v>278594.36999999994</v>
      </c>
      <c r="J84" s="86"/>
      <c r="K84" s="39"/>
      <c r="L84" s="39"/>
      <c r="M84" s="391">
        <v>1698</v>
      </c>
      <c r="N84" s="181" t="s">
        <v>1066</v>
      </c>
      <c r="O84" s="34" t="s">
        <v>8</v>
      </c>
      <c r="P84" s="34" t="s">
        <v>886</v>
      </c>
    </row>
    <row r="85" spans="1:16" x14ac:dyDescent="0.25">
      <c r="A85" s="394"/>
      <c r="B85" s="393">
        <v>45580</v>
      </c>
      <c r="C85" s="394" t="s">
        <v>839</v>
      </c>
      <c r="D85" s="394"/>
      <c r="E85" s="394"/>
      <c r="F85" s="34"/>
      <c r="G85" s="37"/>
      <c r="H85" s="37"/>
      <c r="I85" s="86">
        <f>I84+G85-K85</f>
        <v>278592.47999999992</v>
      </c>
      <c r="J85" s="86"/>
      <c r="K85" s="39">
        <v>1.89</v>
      </c>
      <c r="L85" s="39"/>
      <c r="M85" s="391">
        <f t="shared" ref="M85:M118" si="6">M84+J85-L85</f>
        <v>1698</v>
      </c>
      <c r="N85" s="181" t="s">
        <v>1068</v>
      </c>
      <c r="O85" s="34" t="s">
        <v>121</v>
      </c>
      <c r="P85" s="34" t="s">
        <v>858</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1069</v>
      </c>
      <c r="O86" s="34" t="s">
        <v>8</v>
      </c>
      <c r="P86" s="34" t="s">
        <v>886</v>
      </c>
    </row>
    <row r="87" spans="1:16" ht="60" x14ac:dyDescent="0.25">
      <c r="A87" s="406"/>
      <c r="B87" s="407">
        <v>45594</v>
      </c>
      <c r="C87" s="406" t="s">
        <v>146</v>
      </c>
      <c r="D87" s="406" t="s">
        <v>552</v>
      </c>
      <c r="E87" s="406" t="s">
        <v>994</v>
      </c>
      <c r="F87" s="34"/>
      <c r="G87" s="40">
        <v>1000</v>
      </c>
      <c r="H87" s="37"/>
      <c r="I87" s="86">
        <f>I86+G87-K87</f>
        <v>289592.47999999992</v>
      </c>
      <c r="J87" s="86"/>
      <c r="K87" s="39"/>
      <c r="L87" s="39"/>
      <c r="M87" s="391">
        <f t="shared" si="6"/>
        <v>1698</v>
      </c>
      <c r="N87" s="181" t="s">
        <v>1070</v>
      </c>
      <c r="O87" s="34" t="s">
        <v>1071</v>
      </c>
      <c r="P87" s="34" t="s">
        <v>886</v>
      </c>
    </row>
    <row r="88" spans="1:16" ht="60" x14ac:dyDescent="0.25">
      <c r="A88" s="406"/>
      <c r="B88" s="407">
        <v>45594</v>
      </c>
      <c r="C88" s="406" t="s">
        <v>1072</v>
      </c>
      <c r="D88" s="406" t="s">
        <v>43</v>
      </c>
      <c r="E88" s="406" t="s">
        <v>990</v>
      </c>
      <c r="F88" s="34"/>
      <c r="G88" s="40">
        <v>1000</v>
      </c>
      <c r="H88" s="37"/>
      <c r="I88" s="86">
        <f>I87+G88-K88</f>
        <v>290592.47999999992</v>
      </c>
      <c r="J88" s="86"/>
      <c r="K88" s="39"/>
      <c r="L88" s="39"/>
      <c r="M88" s="391">
        <f t="shared" si="6"/>
        <v>1698</v>
      </c>
      <c r="N88" s="181" t="s">
        <v>1073</v>
      </c>
      <c r="O88" s="34" t="s">
        <v>1071</v>
      </c>
      <c r="P88" s="34" t="s">
        <v>886</v>
      </c>
    </row>
    <row r="89" spans="1:16" x14ac:dyDescent="0.25">
      <c r="A89" s="406"/>
      <c r="B89" s="407">
        <v>45594</v>
      </c>
      <c r="C89" s="406" t="s">
        <v>1077</v>
      </c>
      <c r="D89" s="406" t="s">
        <v>37</v>
      </c>
      <c r="E89" s="406" t="s">
        <v>993</v>
      </c>
      <c r="F89" s="34"/>
      <c r="G89" s="40"/>
      <c r="H89" s="37"/>
      <c r="I89" s="86">
        <f t="shared" ref="I89:I92" si="7">I88+G89-K89</f>
        <v>290592.47999999992</v>
      </c>
      <c r="J89" s="86">
        <v>1000</v>
      </c>
      <c r="K89" s="39"/>
      <c r="L89" s="39"/>
      <c r="M89" s="391">
        <f t="shared" si="6"/>
        <v>2698</v>
      </c>
      <c r="N89" s="181" t="s">
        <v>1078</v>
      </c>
      <c r="O89" s="34" t="s">
        <v>1071</v>
      </c>
      <c r="P89" s="34" t="s">
        <v>886</v>
      </c>
    </row>
    <row r="90" spans="1:16" s="423" customFormat="1" x14ac:dyDescent="0.25">
      <c r="A90" s="414"/>
      <c r="B90" s="415">
        <v>45594</v>
      </c>
      <c r="C90" s="414" t="s">
        <v>968</v>
      </c>
      <c r="D90" s="414"/>
      <c r="E90" s="414"/>
      <c r="F90" s="416"/>
      <c r="G90" s="417"/>
      <c r="H90" s="418"/>
      <c r="I90" s="419">
        <f t="shared" si="7"/>
        <v>290592.47999999992</v>
      </c>
      <c r="J90" s="419">
        <v>0</v>
      </c>
      <c r="K90" s="420"/>
      <c r="L90" s="420"/>
      <c r="M90" s="421">
        <f t="shared" si="6"/>
        <v>2698</v>
      </c>
      <c r="N90" s="422" t="s">
        <v>1079</v>
      </c>
      <c r="O90" s="416" t="s">
        <v>1071</v>
      </c>
      <c r="P90" s="416" t="s">
        <v>886</v>
      </c>
    </row>
    <row r="91" spans="1:16" s="423" customFormat="1" ht="30" x14ac:dyDescent="0.25">
      <c r="A91" s="414"/>
      <c r="B91" s="415">
        <v>45594</v>
      </c>
      <c r="C91" s="414" t="s">
        <v>1080</v>
      </c>
      <c r="D91" s="414"/>
      <c r="E91" s="414"/>
      <c r="F91" s="416"/>
      <c r="G91" s="418"/>
      <c r="H91" s="418"/>
      <c r="I91" s="419">
        <f>I90+G91-K91</f>
        <v>290592.47999999992</v>
      </c>
      <c r="J91" s="419"/>
      <c r="K91" s="420"/>
      <c r="L91" s="420">
        <v>0</v>
      </c>
      <c r="M91" s="421">
        <f>M90+J91-L91</f>
        <v>2698</v>
      </c>
      <c r="N91" s="422" t="s">
        <v>1081</v>
      </c>
      <c r="O91" s="416" t="s">
        <v>1071</v>
      </c>
      <c r="P91" s="416" t="s">
        <v>858</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1074</v>
      </c>
      <c r="O92" s="34" t="s">
        <v>245</v>
      </c>
      <c r="P92" s="34" t="s">
        <v>886</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1075</v>
      </c>
      <c r="O93" s="34" t="s">
        <v>121</v>
      </c>
      <c r="P93" s="34" t="s">
        <v>858</v>
      </c>
    </row>
    <row r="94" spans="1:16" ht="30" x14ac:dyDescent="0.25">
      <c r="A94" s="408"/>
      <c r="B94" s="407">
        <v>45610</v>
      </c>
      <c r="C94" s="406" t="s">
        <v>935</v>
      </c>
      <c r="D94" s="406" t="s">
        <v>1082</v>
      </c>
      <c r="E94" s="406"/>
      <c r="F94" s="34"/>
      <c r="G94" s="37"/>
      <c r="H94" s="37"/>
      <c r="I94" s="86">
        <f t="shared" si="8"/>
        <v>290170.23999999993</v>
      </c>
      <c r="J94" s="86"/>
      <c r="K94" s="39">
        <v>2000</v>
      </c>
      <c r="L94" s="39"/>
      <c r="M94" s="391">
        <f t="shared" si="6"/>
        <v>2698</v>
      </c>
      <c r="N94" s="36" t="s">
        <v>1101</v>
      </c>
      <c r="O94" s="34" t="s">
        <v>1071</v>
      </c>
      <c r="P94" s="34" t="s">
        <v>858</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1083</v>
      </c>
      <c r="O95" s="34" t="s">
        <v>121</v>
      </c>
      <c r="P95" s="34" t="s">
        <v>858</v>
      </c>
    </row>
    <row r="96" spans="1:16" ht="30" x14ac:dyDescent="0.25">
      <c r="A96" s="271"/>
      <c r="B96" s="381">
        <v>45611</v>
      </c>
      <c r="C96" s="36" t="s">
        <v>968</v>
      </c>
      <c r="D96" s="36"/>
      <c r="E96" s="36"/>
      <c r="F96" s="34"/>
      <c r="G96" s="40">
        <v>1000</v>
      </c>
      <c r="H96" s="37"/>
      <c r="I96" s="86">
        <f t="shared" si="8"/>
        <v>291164.33999999991</v>
      </c>
      <c r="J96" s="86"/>
      <c r="K96" s="39"/>
      <c r="L96" s="39">
        <v>1000</v>
      </c>
      <c r="M96" s="391">
        <f t="shared" si="6"/>
        <v>1698</v>
      </c>
      <c r="N96" s="36" t="s">
        <v>1100</v>
      </c>
      <c r="O96" s="34" t="s">
        <v>1071</v>
      </c>
      <c r="P96" s="34" t="s">
        <v>886</v>
      </c>
    </row>
    <row r="97" spans="1:16" ht="30" x14ac:dyDescent="0.25">
      <c r="A97" s="409"/>
      <c r="B97" s="410">
        <v>45623</v>
      </c>
      <c r="C97" s="175" t="s">
        <v>698</v>
      </c>
      <c r="D97" s="175" t="s">
        <v>698</v>
      </c>
      <c r="E97" s="175"/>
      <c r="F97" s="34"/>
      <c r="G97" s="37"/>
      <c r="H97" s="37"/>
      <c r="I97" s="86">
        <f t="shared" si="8"/>
        <v>276164.33999999991</v>
      </c>
      <c r="J97" s="86"/>
      <c r="K97" s="39">
        <v>15000</v>
      </c>
      <c r="L97" s="39"/>
      <c r="M97" s="391">
        <f t="shared" si="6"/>
        <v>1698</v>
      </c>
      <c r="N97" s="36" t="s">
        <v>1084</v>
      </c>
      <c r="O97" s="34" t="s">
        <v>854</v>
      </c>
      <c r="P97" s="34" t="s">
        <v>858</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1083</v>
      </c>
      <c r="O98" s="34" t="s">
        <v>121</v>
      </c>
      <c r="P98" s="34" t="s">
        <v>858</v>
      </c>
    </row>
    <row r="99" spans="1:16" ht="30" x14ac:dyDescent="0.25">
      <c r="A99" s="34"/>
      <c r="B99" s="381">
        <v>45629</v>
      </c>
      <c r="C99" s="36" t="s">
        <v>929</v>
      </c>
      <c r="D99" s="36" t="s">
        <v>541</v>
      </c>
      <c r="E99" s="36" t="s">
        <v>991</v>
      </c>
      <c r="F99" s="34"/>
      <c r="G99" s="37">
        <v>1500</v>
      </c>
      <c r="H99" s="37"/>
      <c r="I99" s="86">
        <f t="shared" si="8"/>
        <v>277658.43999999989</v>
      </c>
      <c r="J99" s="86"/>
      <c r="K99" s="39"/>
      <c r="L99" s="39"/>
      <c r="M99" s="391">
        <f t="shared" si="6"/>
        <v>1698</v>
      </c>
      <c r="N99" s="411" t="s">
        <v>1085</v>
      </c>
      <c r="O99" s="34" t="s">
        <v>8</v>
      </c>
      <c r="P99" s="34" t="s">
        <v>858</v>
      </c>
    </row>
    <row r="100" spans="1:16" ht="30" x14ac:dyDescent="0.25">
      <c r="A100" s="409"/>
      <c r="B100" s="410">
        <v>45630</v>
      </c>
      <c r="C100" s="175" t="s">
        <v>132</v>
      </c>
      <c r="D100" s="175" t="s">
        <v>133</v>
      </c>
      <c r="E100" s="175" t="s">
        <v>991</v>
      </c>
      <c r="F100" s="34"/>
      <c r="G100" s="40">
        <v>5000</v>
      </c>
      <c r="H100" s="37"/>
      <c r="I100" s="86">
        <f t="shared" ref="I100:I151" si="9">I99+G100-K100</f>
        <v>282658.43999999989</v>
      </c>
      <c r="J100" s="86"/>
      <c r="K100" s="39"/>
      <c r="L100" s="39"/>
      <c r="M100" s="391">
        <f t="shared" si="6"/>
        <v>1698</v>
      </c>
      <c r="N100" s="36" t="s">
        <v>1086</v>
      </c>
      <c r="O100" s="34" t="s">
        <v>854</v>
      </c>
      <c r="P100" s="34" t="s">
        <v>886</v>
      </c>
    </row>
    <row r="101" spans="1:16" ht="30" x14ac:dyDescent="0.25">
      <c r="A101" s="34"/>
      <c r="B101" s="381">
        <v>45638</v>
      </c>
      <c r="C101" s="36" t="s">
        <v>431</v>
      </c>
      <c r="D101" s="36" t="s">
        <v>1093</v>
      </c>
      <c r="E101" s="36" t="s">
        <v>23</v>
      </c>
      <c r="F101" s="34"/>
      <c r="G101" s="37">
        <v>2500</v>
      </c>
      <c r="H101" s="37"/>
      <c r="I101" s="86">
        <f t="shared" si="9"/>
        <v>285158.43999999989</v>
      </c>
      <c r="J101" s="86"/>
      <c r="K101" s="39"/>
      <c r="L101" s="39"/>
      <c r="M101" s="391">
        <f t="shared" si="6"/>
        <v>1698</v>
      </c>
      <c r="N101" s="36" t="s">
        <v>1092</v>
      </c>
      <c r="O101" s="34" t="s">
        <v>8</v>
      </c>
      <c r="P101" s="34" t="s">
        <v>886</v>
      </c>
    </row>
    <row r="102" spans="1:16" ht="60" x14ac:dyDescent="0.25">
      <c r="A102" s="34"/>
      <c r="B102" s="381">
        <v>45639</v>
      </c>
      <c r="C102" s="36" t="s">
        <v>1053</v>
      </c>
      <c r="D102" s="36" t="s">
        <v>29</v>
      </c>
      <c r="E102" s="36" t="s">
        <v>29</v>
      </c>
      <c r="F102" s="34"/>
      <c r="G102" s="37">
        <v>2500</v>
      </c>
      <c r="H102" s="37"/>
      <c r="I102" s="86">
        <f t="shared" si="9"/>
        <v>287658.43999999989</v>
      </c>
      <c r="J102" s="86"/>
      <c r="K102" s="39"/>
      <c r="L102" s="39"/>
      <c r="M102" s="391">
        <f t="shared" si="6"/>
        <v>1698</v>
      </c>
      <c r="N102" s="411" t="s">
        <v>1094</v>
      </c>
      <c r="O102" s="34" t="s">
        <v>8</v>
      </c>
      <c r="P102" s="34" t="s">
        <v>886</v>
      </c>
    </row>
    <row r="103" spans="1:16" ht="60" x14ac:dyDescent="0.25">
      <c r="A103" s="409"/>
      <c r="B103" s="410">
        <v>45639</v>
      </c>
      <c r="C103" s="175" t="s">
        <v>1053</v>
      </c>
      <c r="D103" s="175" t="s">
        <v>29</v>
      </c>
      <c r="E103" s="175" t="s">
        <v>29</v>
      </c>
      <c r="F103" s="34"/>
      <c r="G103" s="40">
        <v>5000</v>
      </c>
      <c r="H103" s="37"/>
      <c r="I103" s="86">
        <f t="shared" si="9"/>
        <v>292658.43999999989</v>
      </c>
      <c r="J103" s="86"/>
      <c r="K103" s="39"/>
      <c r="L103" s="39"/>
      <c r="M103" s="391">
        <f t="shared" si="6"/>
        <v>1698</v>
      </c>
      <c r="N103" s="411" t="s">
        <v>1094</v>
      </c>
      <c r="O103" s="34" t="s">
        <v>854</v>
      </c>
      <c r="P103" s="34" t="s">
        <v>886</v>
      </c>
    </row>
    <row r="104" spans="1:16" ht="60" x14ac:dyDescent="0.25">
      <c r="A104" s="409"/>
      <c r="B104" s="410">
        <v>45639</v>
      </c>
      <c r="C104" s="175" t="s">
        <v>136</v>
      </c>
      <c r="D104" s="175" t="s">
        <v>1096</v>
      </c>
      <c r="E104" s="175" t="s">
        <v>990</v>
      </c>
      <c r="F104" s="34"/>
      <c r="G104" s="40">
        <v>5000</v>
      </c>
      <c r="H104" s="37"/>
      <c r="I104" s="86">
        <f t="shared" si="9"/>
        <v>297658.43999999989</v>
      </c>
      <c r="J104" s="86"/>
      <c r="K104" s="39"/>
      <c r="L104" s="39"/>
      <c r="M104" s="391">
        <f t="shared" si="6"/>
        <v>1698</v>
      </c>
      <c r="N104" s="36" t="s">
        <v>1095</v>
      </c>
      <c r="O104" s="34" t="s">
        <v>854</v>
      </c>
      <c r="P104" s="34" t="s">
        <v>886</v>
      </c>
    </row>
    <row r="105" spans="1:16" ht="60" x14ac:dyDescent="0.25">
      <c r="A105" s="34"/>
      <c r="B105" s="381">
        <v>45640</v>
      </c>
      <c r="C105" s="36" t="s">
        <v>538</v>
      </c>
      <c r="D105" s="36" t="s">
        <v>584</v>
      </c>
      <c r="E105" s="36" t="s">
        <v>994</v>
      </c>
      <c r="F105" s="34"/>
      <c r="G105" s="37">
        <v>1500</v>
      </c>
      <c r="H105" s="37"/>
      <c r="I105" s="86">
        <f t="shared" si="9"/>
        <v>299158.43999999989</v>
      </c>
      <c r="J105" s="86"/>
      <c r="K105" s="39"/>
      <c r="L105" s="39"/>
      <c r="M105" s="391">
        <f t="shared" si="6"/>
        <v>1698</v>
      </c>
      <c r="N105" s="36" t="s">
        <v>1097</v>
      </c>
      <c r="O105" s="34" t="s">
        <v>8</v>
      </c>
      <c r="P105" s="34" t="s">
        <v>886</v>
      </c>
    </row>
    <row r="106" spans="1:16" ht="45" x14ac:dyDescent="0.25">
      <c r="A106" s="34"/>
      <c r="B106" s="381">
        <v>45643</v>
      </c>
      <c r="C106" s="36" t="s">
        <v>1104</v>
      </c>
      <c r="D106" s="36" t="s">
        <v>1105</v>
      </c>
      <c r="E106" s="36" t="s">
        <v>994</v>
      </c>
      <c r="F106" s="34"/>
      <c r="G106" s="37">
        <v>1500</v>
      </c>
      <c r="H106" s="37"/>
      <c r="I106" s="86">
        <f t="shared" si="9"/>
        <v>300658.43999999989</v>
      </c>
      <c r="J106" s="86"/>
      <c r="K106" s="39"/>
      <c r="L106" s="39"/>
      <c r="M106" s="391">
        <f t="shared" si="6"/>
        <v>1698</v>
      </c>
      <c r="N106" s="36" t="s">
        <v>1103</v>
      </c>
      <c r="O106" s="34" t="s">
        <v>8</v>
      </c>
      <c r="P106" s="34" t="s">
        <v>886</v>
      </c>
    </row>
    <row r="107" spans="1:16" ht="30" x14ac:dyDescent="0.25">
      <c r="A107" s="34"/>
      <c r="B107" s="381">
        <v>45643</v>
      </c>
      <c r="C107" s="36" t="s">
        <v>1108</v>
      </c>
      <c r="D107" s="36" t="s">
        <v>1107</v>
      </c>
      <c r="E107" s="36" t="s">
        <v>989</v>
      </c>
      <c r="F107" s="34"/>
      <c r="G107" s="37">
        <v>1500</v>
      </c>
      <c r="H107" s="37"/>
      <c r="I107" s="86">
        <f t="shared" si="9"/>
        <v>302158.43999999989</v>
      </c>
      <c r="J107" s="86"/>
      <c r="K107" s="39"/>
      <c r="L107" s="39"/>
      <c r="M107" s="391">
        <f t="shared" si="6"/>
        <v>1698</v>
      </c>
      <c r="N107" s="36" t="s">
        <v>1106</v>
      </c>
      <c r="O107" s="34" t="s">
        <v>8</v>
      </c>
      <c r="P107" s="34" t="s">
        <v>886</v>
      </c>
    </row>
    <row r="108" spans="1:16" ht="30" x14ac:dyDescent="0.25">
      <c r="A108" s="34"/>
      <c r="B108" s="381">
        <v>45643</v>
      </c>
      <c r="C108" s="36" t="s">
        <v>1109</v>
      </c>
      <c r="D108" s="36" t="s">
        <v>1107</v>
      </c>
      <c r="E108" s="36" t="s">
        <v>989</v>
      </c>
      <c r="F108" s="34"/>
      <c r="G108" s="37">
        <v>1500</v>
      </c>
      <c r="H108" s="37"/>
      <c r="I108" s="86">
        <f t="shared" si="9"/>
        <v>303658.43999999989</v>
      </c>
      <c r="J108" s="86"/>
      <c r="K108" s="39"/>
      <c r="L108" s="39"/>
      <c r="M108" s="391">
        <f t="shared" si="6"/>
        <v>1698</v>
      </c>
      <c r="N108" s="36" t="s">
        <v>1106</v>
      </c>
      <c r="O108" s="34" t="s">
        <v>8</v>
      </c>
      <c r="P108" s="34" t="s">
        <v>886</v>
      </c>
    </row>
    <row r="109" spans="1:16" ht="30" x14ac:dyDescent="0.25">
      <c r="A109" s="34"/>
      <c r="B109" s="381">
        <v>45644</v>
      </c>
      <c r="C109" s="36" t="s">
        <v>1111</v>
      </c>
      <c r="D109" s="36" t="s">
        <v>1112</v>
      </c>
      <c r="E109" s="36" t="s">
        <v>994</v>
      </c>
      <c r="F109" s="34"/>
      <c r="G109" s="37">
        <v>15000</v>
      </c>
      <c r="H109" s="37"/>
      <c r="I109" s="86">
        <f t="shared" si="9"/>
        <v>318658.43999999989</v>
      </c>
      <c r="J109" s="86"/>
      <c r="K109" s="39"/>
      <c r="L109" s="39"/>
      <c r="M109" s="391">
        <f t="shared" si="6"/>
        <v>1698</v>
      </c>
      <c r="N109" s="36" t="s">
        <v>1110</v>
      </c>
      <c r="O109" s="34" t="s">
        <v>8</v>
      </c>
      <c r="P109" s="34" t="s">
        <v>886</v>
      </c>
    </row>
    <row r="110" spans="1:16" ht="30" x14ac:dyDescent="0.25">
      <c r="A110" s="409"/>
      <c r="B110" s="410">
        <v>45644</v>
      </c>
      <c r="C110" s="175" t="s">
        <v>722</v>
      </c>
      <c r="D110" s="175" t="s">
        <v>629</v>
      </c>
      <c r="E110" s="175" t="s">
        <v>990</v>
      </c>
      <c r="F110" s="34"/>
      <c r="G110" s="40">
        <v>5000</v>
      </c>
      <c r="H110" s="37"/>
      <c r="I110" s="86">
        <f t="shared" si="9"/>
        <v>323658.43999999989</v>
      </c>
      <c r="J110" s="86"/>
      <c r="K110" s="39"/>
      <c r="L110" s="39"/>
      <c r="M110" s="391">
        <f t="shared" si="6"/>
        <v>1698</v>
      </c>
      <c r="N110" s="36" t="s">
        <v>1113</v>
      </c>
      <c r="O110" s="34" t="s">
        <v>854</v>
      </c>
      <c r="P110" s="34" t="s">
        <v>886</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1114</v>
      </c>
      <c r="O111" s="34" t="s">
        <v>121</v>
      </c>
      <c r="P111" s="34" t="s">
        <v>858</v>
      </c>
    </row>
    <row r="112" spans="1:16" ht="30" x14ac:dyDescent="0.25">
      <c r="A112" s="409"/>
      <c r="B112" s="410">
        <v>45645</v>
      </c>
      <c r="C112" s="175" t="s">
        <v>351</v>
      </c>
      <c r="D112" s="175" t="s">
        <v>1116</v>
      </c>
      <c r="E112" s="175" t="s">
        <v>991</v>
      </c>
      <c r="F112" s="34"/>
      <c r="G112" s="40">
        <v>5000</v>
      </c>
      <c r="H112" s="37"/>
      <c r="I112" s="86">
        <f t="shared" si="9"/>
        <v>328658.1999999999</v>
      </c>
      <c r="J112" s="86"/>
      <c r="K112" s="39"/>
      <c r="L112" s="39"/>
      <c r="M112" s="391">
        <f t="shared" si="6"/>
        <v>1698</v>
      </c>
      <c r="N112" s="36" t="s">
        <v>1115</v>
      </c>
      <c r="O112" s="34" t="s">
        <v>854</v>
      </c>
      <c r="P112" s="34" t="s">
        <v>886</v>
      </c>
    </row>
    <row r="113" spans="1:16" ht="30" x14ac:dyDescent="0.25">
      <c r="A113" s="34"/>
      <c r="B113" s="381">
        <v>45646</v>
      </c>
      <c r="C113" s="36" t="s">
        <v>1118</v>
      </c>
      <c r="D113" s="36" t="s">
        <v>1119</v>
      </c>
      <c r="E113" s="36" t="s">
        <v>994</v>
      </c>
      <c r="F113" s="34"/>
      <c r="G113" s="37">
        <v>1500</v>
      </c>
      <c r="H113" s="37"/>
      <c r="I113" s="86">
        <f t="shared" si="9"/>
        <v>330158.1999999999</v>
      </c>
      <c r="J113" s="86"/>
      <c r="K113" s="39"/>
      <c r="L113" s="39"/>
      <c r="M113" s="391">
        <f t="shared" si="6"/>
        <v>1698</v>
      </c>
      <c r="N113" s="36" t="s">
        <v>1117</v>
      </c>
      <c r="O113" s="34" t="s">
        <v>8</v>
      </c>
      <c r="P113" s="34" t="s">
        <v>886</v>
      </c>
    </row>
    <row r="114" spans="1:16" ht="45" x14ac:dyDescent="0.25">
      <c r="A114" s="409"/>
      <c r="B114" s="410">
        <v>45646</v>
      </c>
      <c r="C114" s="175" t="s">
        <v>1077</v>
      </c>
      <c r="D114" s="175" t="s">
        <v>37</v>
      </c>
      <c r="E114" s="175" t="s">
        <v>993</v>
      </c>
      <c r="F114" s="34"/>
      <c r="G114" s="40">
        <v>3000</v>
      </c>
      <c r="H114" s="37"/>
      <c r="I114" s="86">
        <f t="shared" si="9"/>
        <v>333158.1999999999</v>
      </c>
      <c r="J114" s="86"/>
      <c r="K114" s="39"/>
      <c r="L114" s="39"/>
      <c r="M114" s="391">
        <f t="shared" si="6"/>
        <v>1698</v>
      </c>
      <c r="N114" s="36" t="s">
        <v>1120</v>
      </c>
      <c r="O114" s="34" t="s">
        <v>854</v>
      </c>
      <c r="P114" s="34" t="s">
        <v>886</v>
      </c>
    </row>
    <row r="115" spans="1:16" ht="30" x14ac:dyDescent="0.25">
      <c r="A115" s="409"/>
      <c r="B115" s="410">
        <v>45646</v>
      </c>
      <c r="C115" s="175" t="s">
        <v>957</v>
      </c>
      <c r="D115" s="175" t="s">
        <v>1122</v>
      </c>
      <c r="E115" s="175" t="s">
        <v>989</v>
      </c>
      <c r="F115" s="34"/>
      <c r="G115" s="40">
        <v>5000</v>
      </c>
      <c r="H115" s="37"/>
      <c r="I115" s="86">
        <f t="shared" si="9"/>
        <v>338158.1999999999</v>
      </c>
      <c r="J115" s="86"/>
      <c r="K115" s="39"/>
      <c r="L115" s="39"/>
      <c r="M115" s="391">
        <f t="shared" si="6"/>
        <v>1698</v>
      </c>
      <c r="N115" s="36" t="s">
        <v>1121</v>
      </c>
      <c r="O115" s="34" t="s">
        <v>854</v>
      </c>
      <c r="P115" s="34" t="s">
        <v>886</v>
      </c>
    </row>
    <row r="116" spans="1:16" ht="30" x14ac:dyDescent="0.25">
      <c r="A116" s="409"/>
      <c r="B116" s="410">
        <v>45648</v>
      </c>
      <c r="C116" s="175" t="s">
        <v>698</v>
      </c>
      <c r="D116" s="175" t="s">
        <v>698</v>
      </c>
      <c r="E116" s="175"/>
      <c r="F116" s="34"/>
      <c r="G116" s="37"/>
      <c r="H116" s="37"/>
      <c r="I116" s="86">
        <f t="shared" si="9"/>
        <v>286194.1999999999</v>
      </c>
      <c r="J116" s="86"/>
      <c r="K116" s="39">
        <v>51964</v>
      </c>
      <c r="L116" s="39"/>
      <c r="M116" s="391">
        <f t="shared" si="6"/>
        <v>1698</v>
      </c>
      <c r="N116" s="36" t="s">
        <v>1123</v>
      </c>
      <c r="O116" s="34" t="s">
        <v>854</v>
      </c>
      <c r="P116" s="34" t="s">
        <v>858</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1083</v>
      </c>
      <c r="O117" s="34" t="s">
        <v>121</v>
      </c>
      <c r="P117" s="34" t="s">
        <v>858</v>
      </c>
    </row>
    <row r="118" spans="1:16" ht="60" x14ac:dyDescent="0.25">
      <c r="A118" s="438"/>
      <c r="B118" s="381">
        <v>45656</v>
      </c>
      <c r="C118" s="439" t="s">
        <v>1155</v>
      </c>
      <c r="D118" s="439" t="s">
        <v>1037</v>
      </c>
      <c r="E118" s="439"/>
      <c r="F118" s="34"/>
      <c r="G118" s="37"/>
      <c r="H118" s="37"/>
      <c r="I118" s="86">
        <f>I117+G118-K118</f>
        <v>259633.34999999992</v>
      </c>
      <c r="J118" s="86"/>
      <c r="K118" s="444">
        <v>26552</v>
      </c>
      <c r="L118" s="39"/>
      <c r="M118" s="391">
        <f t="shared" si="6"/>
        <v>1698</v>
      </c>
      <c r="N118" s="319" t="s">
        <v>1156</v>
      </c>
      <c r="O118" s="34" t="s">
        <v>1170</v>
      </c>
      <c r="P118" s="34" t="s">
        <v>1171</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1170</v>
      </c>
      <c r="P119" s="34" t="s">
        <v>1171</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1169</v>
      </c>
      <c r="O120" s="34" t="s">
        <v>1170</v>
      </c>
      <c r="P120" s="34" t="s">
        <v>1171</v>
      </c>
    </row>
    <row r="121" spans="1:16" x14ac:dyDescent="0.25">
      <c r="A121" s="440"/>
      <c r="B121" s="441">
        <v>45656</v>
      </c>
      <c r="C121" s="442" t="s">
        <v>1172</v>
      </c>
      <c r="D121" s="442"/>
      <c r="E121" s="442"/>
      <c r="F121" s="34"/>
      <c r="G121" s="437">
        <v>8.85</v>
      </c>
      <c r="H121" s="37"/>
      <c r="I121" s="86">
        <f>I120+G121-K121</f>
        <v>286185.34999999986</v>
      </c>
      <c r="J121" s="86"/>
      <c r="K121" s="39"/>
      <c r="L121" s="39"/>
      <c r="M121" s="391">
        <f t="shared" si="10"/>
        <v>1698</v>
      </c>
      <c r="N121" s="319" t="s">
        <v>1173</v>
      </c>
      <c r="O121" s="34" t="s">
        <v>1170</v>
      </c>
      <c r="P121" s="34" t="s">
        <v>1171</v>
      </c>
    </row>
    <row r="122" spans="1:16" ht="30" x14ac:dyDescent="0.25">
      <c r="A122" s="435"/>
      <c r="B122" s="436">
        <v>45667</v>
      </c>
      <c r="C122" s="172" t="s">
        <v>1164</v>
      </c>
      <c r="D122" s="172"/>
      <c r="E122" s="172"/>
      <c r="F122" s="34"/>
      <c r="G122" s="37"/>
      <c r="H122" s="37"/>
      <c r="I122" s="86">
        <f>I121+G122-K122</f>
        <v>236185.34999999986</v>
      </c>
      <c r="J122" s="86">
        <v>50000</v>
      </c>
      <c r="K122" s="39">
        <v>50000</v>
      </c>
      <c r="L122" s="39"/>
      <c r="M122" s="391">
        <f t="shared" si="10"/>
        <v>51698</v>
      </c>
      <c r="N122" s="36" t="s">
        <v>1234</v>
      </c>
      <c r="O122" s="34" t="s">
        <v>1165</v>
      </c>
      <c r="P122" s="34" t="s">
        <v>858</v>
      </c>
    </row>
    <row r="123" spans="1:16" ht="30" x14ac:dyDescent="0.25">
      <c r="A123" s="34"/>
      <c r="B123" s="381">
        <v>45670</v>
      </c>
      <c r="C123" s="36" t="s">
        <v>1215</v>
      </c>
      <c r="D123" s="36" t="s">
        <v>1216</v>
      </c>
      <c r="E123" s="36"/>
      <c r="F123" s="34"/>
      <c r="G123" s="37">
        <v>2500</v>
      </c>
      <c r="H123" s="37"/>
      <c r="I123" s="86">
        <f t="shared" si="9"/>
        <v>238685.34999999986</v>
      </c>
      <c r="J123" s="86"/>
      <c r="K123" s="39"/>
      <c r="L123" s="39"/>
      <c r="M123" s="391">
        <f t="shared" si="10"/>
        <v>51698</v>
      </c>
      <c r="N123" s="36" t="s">
        <v>1166</v>
      </c>
      <c r="O123" s="34" t="s">
        <v>8</v>
      </c>
      <c r="P123" s="34" t="s">
        <v>886</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1167</v>
      </c>
      <c r="O124" s="34"/>
      <c r="P124" s="34"/>
    </row>
    <row r="125" spans="1:16" ht="30" x14ac:dyDescent="0.25">
      <c r="A125" s="435"/>
      <c r="B125" s="436">
        <v>45673</v>
      </c>
      <c r="C125" s="172" t="s">
        <v>935</v>
      </c>
      <c r="D125" s="172" t="s">
        <v>29</v>
      </c>
      <c r="E125" s="172"/>
      <c r="F125" s="34"/>
      <c r="G125" s="37"/>
      <c r="H125" s="37"/>
      <c r="I125" s="86">
        <f t="shared" si="9"/>
        <v>238684.87999999986</v>
      </c>
      <c r="J125" s="80">
        <v>20000</v>
      </c>
      <c r="K125" s="39"/>
      <c r="L125" s="39"/>
      <c r="M125" s="391">
        <f t="shared" si="10"/>
        <v>71698</v>
      </c>
      <c r="N125" s="36" t="s">
        <v>1235</v>
      </c>
      <c r="O125" s="34" t="s">
        <v>1165</v>
      </c>
      <c r="P125" s="34" t="s">
        <v>886</v>
      </c>
    </row>
    <row r="126" spans="1:16" ht="45" x14ac:dyDescent="0.25">
      <c r="A126" s="435"/>
      <c r="B126" s="436">
        <v>45673</v>
      </c>
      <c r="C126" s="172" t="s">
        <v>1036</v>
      </c>
      <c r="D126" s="172" t="s">
        <v>37</v>
      </c>
      <c r="E126" s="172"/>
      <c r="F126" s="34"/>
      <c r="G126" s="37"/>
      <c r="H126" s="37"/>
      <c r="I126" s="86">
        <f t="shared" si="9"/>
        <v>238684.87999999986</v>
      </c>
      <c r="J126" s="480">
        <v>10250</v>
      </c>
      <c r="K126" s="39"/>
      <c r="L126" s="39"/>
      <c r="M126" s="391">
        <f t="shared" si="10"/>
        <v>81948</v>
      </c>
      <c r="N126" s="36" t="s">
        <v>1239</v>
      </c>
      <c r="O126" s="34" t="s">
        <v>1165</v>
      </c>
      <c r="P126" s="34" t="s">
        <v>886</v>
      </c>
    </row>
    <row r="127" spans="1:16" ht="45" x14ac:dyDescent="0.25">
      <c r="A127" s="435"/>
      <c r="B127" s="436">
        <v>45673</v>
      </c>
      <c r="C127" s="172" t="s">
        <v>968</v>
      </c>
      <c r="D127" s="172" t="s">
        <v>225</v>
      </c>
      <c r="E127" s="172"/>
      <c r="F127" s="34"/>
      <c r="G127" s="37"/>
      <c r="H127" s="37"/>
      <c r="I127" s="86">
        <f t="shared" si="9"/>
        <v>238684.87999999986</v>
      </c>
      <c r="J127" s="480">
        <v>12785</v>
      </c>
      <c r="K127" s="39"/>
      <c r="L127" s="39"/>
      <c r="M127" s="391">
        <f t="shared" si="10"/>
        <v>94733</v>
      </c>
      <c r="N127" s="36" t="s">
        <v>1238</v>
      </c>
      <c r="O127" s="34" t="s">
        <v>1165</v>
      </c>
      <c r="P127" s="34" t="s">
        <v>886</v>
      </c>
    </row>
    <row r="128" spans="1:16" x14ac:dyDescent="0.25">
      <c r="A128" s="435"/>
      <c r="B128" s="436">
        <v>45673</v>
      </c>
      <c r="C128" s="172" t="s">
        <v>1228</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1174</v>
      </c>
      <c r="D129" s="36"/>
      <c r="E129" s="36"/>
      <c r="F129" s="34"/>
      <c r="G129" s="37"/>
      <c r="H129" s="37"/>
      <c r="I129" s="86">
        <f>I124+G129-K129</f>
        <v>220424.87999999986</v>
      </c>
      <c r="J129" s="86"/>
      <c r="K129" s="39">
        <v>18260</v>
      </c>
      <c r="L129" s="39"/>
      <c r="M129" s="391">
        <f t="shared" si="10"/>
        <v>1698</v>
      </c>
      <c r="N129" s="36" t="s">
        <v>1175</v>
      </c>
      <c r="O129" s="34" t="s">
        <v>1170</v>
      </c>
      <c r="P129" s="34" t="s">
        <v>858</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858</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1176</v>
      </c>
      <c r="O131" s="34" t="s">
        <v>1170</v>
      </c>
      <c r="P131" s="34" t="s">
        <v>1171</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1177</v>
      </c>
      <c r="O132" s="34" t="s">
        <v>1170</v>
      </c>
      <c r="P132" s="34" t="s">
        <v>1171</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1178</v>
      </c>
      <c r="O133" s="34" t="s">
        <v>1170</v>
      </c>
      <c r="P133" s="34" t="s">
        <v>1171</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1173</v>
      </c>
      <c r="O134" s="34"/>
      <c r="P134" s="34"/>
    </row>
    <row r="135" spans="1:16" ht="30" x14ac:dyDescent="0.25">
      <c r="A135" s="409"/>
      <c r="B135" s="410">
        <v>45678</v>
      </c>
      <c r="C135" s="175" t="s">
        <v>1036</v>
      </c>
      <c r="D135" s="175"/>
      <c r="E135" s="175"/>
      <c r="F135" s="34"/>
      <c r="G135" s="37"/>
      <c r="H135" s="37"/>
      <c r="I135" s="86">
        <f t="shared" si="9"/>
        <v>193866.97999999986</v>
      </c>
      <c r="J135" s="86"/>
      <c r="K135" s="91">
        <v>26552</v>
      </c>
      <c r="L135" s="39"/>
      <c r="M135" s="391">
        <f t="shared" si="10"/>
        <v>1698</v>
      </c>
      <c r="N135" s="449" t="s">
        <v>1179</v>
      </c>
      <c r="O135" s="34" t="s">
        <v>854</v>
      </c>
      <c r="P135" s="34" t="s">
        <v>858</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858</v>
      </c>
    </row>
    <row r="137" spans="1:16" ht="30" x14ac:dyDescent="0.25">
      <c r="A137" s="34"/>
      <c r="B137" s="381">
        <v>45680</v>
      </c>
      <c r="C137" s="36" t="s">
        <v>1230</v>
      </c>
      <c r="D137" s="36"/>
      <c r="E137" s="36"/>
      <c r="F137" s="34"/>
      <c r="G137" s="37">
        <v>7500</v>
      </c>
      <c r="H137" s="37"/>
      <c r="I137" s="86">
        <f t="shared" si="9"/>
        <v>201358.12999999986</v>
      </c>
      <c r="J137" s="86"/>
      <c r="K137" s="39"/>
      <c r="L137" s="39"/>
      <c r="M137" s="391">
        <f t="shared" si="10"/>
        <v>1698</v>
      </c>
      <c r="N137" s="36" t="s">
        <v>1231</v>
      </c>
      <c r="O137" s="34" t="s">
        <v>8</v>
      </c>
      <c r="P137" s="34" t="s">
        <v>886</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1232</v>
      </c>
      <c r="O138" s="34" t="s">
        <v>245</v>
      </c>
      <c r="P138" s="34" t="s">
        <v>886</v>
      </c>
    </row>
    <row r="139" spans="1:16" ht="75" x14ac:dyDescent="0.25">
      <c r="A139" s="435"/>
      <c r="B139" s="436">
        <v>45698</v>
      </c>
      <c r="C139" s="172" t="s">
        <v>968</v>
      </c>
      <c r="D139" s="172"/>
      <c r="E139" s="172"/>
      <c r="F139" s="34"/>
      <c r="G139" s="37"/>
      <c r="H139" s="37"/>
      <c r="I139" s="86">
        <f t="shared" si="9"/>
        <v>190463.12999999986</v>
      </c>
      <c r="J139" s="86"/>
      <c r="K139" s="72">
        <v>12785</v>
      </c>
      <c r="L139" s="39"/>
      <c r="M139" s="391">
        <f t="shared" si="10"/>
        <v>1698</v>
      </c>
      <c r="N139" s="36" t="s">
        <v>1237</v>
      </c>
      <c r="O139" s="34" t="s">
        <v>1165</v>
      </c>
      <c r="P139" s="34" t="s">
        <v>858</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858</v>
      </c>
    </row>
    <row r="141" spans="1:16" ht="75" x14ac:dyDescent="0.25">
      <c r="A141" s="435"/>
      <c r="B141" s="436">
        <v>45698</v>
      </c>
      <c r="C141" s="172" t="s">
        <v>1233</v>
      </c>
      <c r="D141" s="172"/>
      <c r="E141" s="172"/>
      <c r="F141" s="34"/>
      <c r="G141" s="37"/>
      <c r="H141" s="37"/>
      <c r="I141" s="86">
        <f t="shared" si="9"/>
        <v>180207.22999999986</v>
      </c>
      <c r="J141" s="86"/>
      <c r="K141" s="72">
        <v>10250</v>
      </c>
      <c r="L141" s="39"/>
      <c r="M141" s="391">
        <f t="shared" si="10"/>
        <v>1698</v>
      </c>
      <c r="N141" s="36" t="s">
        <v>1236</v>
      </c>
      <c r="O141" s="34" t="s">
        <v>1165</v>
      </c>
      <c r="P141" s="34" t="s">
        <v>858</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858</v>
      </c>
    </row>
    <row r="143" spans="1:16" ht="30" x14ac:dyDescent="0.25">
      <c r="A143" s="34"/>
      <c r="B143" s="381">
        <v>45701</v>
      </c>
      <c r="C143" s="36" t="s">
        <v>1246</v>
      </c>
      <c r="D143" s="36"/>
      <c r="E143" s="36"/>
      <c r="F143" s="34"/>
      <c r="G143" s="37"/>
      <c r="H143" s="37"/>
      <c r="I143" s="86">
        <f t="shared" si="9"/>
        <v>177313.32999999987</v>
      </c>
      <c r="J143" s="86"/>
      <c r="K143" s="39">
        <v>2888</v>
      </c>
      <c r="L143" s="39"/>
      <c r="M143" s="391">
        <f t="shared" si="10"/>
        <v>1698</v>
      </c>
      <c r="N143" s="36" t="s">
        <v>1245</v>
      </c>
      <c r="O143" s="34" t="s">
        <v>1247</v>
      </c>
      <c r="P143" s="34" t="s">
        <v>858</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1248</v>
      </c>
      <c r="O144" s="34" t="s">
        <v>121</v>
      </c>
      <c r="P144" s="34" t="s">
        <v>858</v>
      </c>
    </row>
    <row r="145" spans="1:16" ht="45" x14ac:dyDescent="0.25">
      <c r="A145" s="34"/>
      <c r="B145" s="381">
        <v>45701</v>
      </c>
      <c r="C145" s="36" t="s">
        <v>1249</v>
      </c>
      <c r="D145" s="36"/>
      <c r="E145" s="36"/>
      <c r="F145" s="34"/>
      <c r="G145" s="37"/>
      <c r="H145" s="37"/>
      <c r="I145" s="86">
        <f t="shared" si="9"/>
        <v>176307.42999999988</v>
      </c>
      <c r="J145" s="86"/>
      <c r="K145" s="39">
        <v>1000</v>
      </c>
      <c r="L145" s="39"/>
      <c r="M145" s="391">
        <f t="shared" si="10"/>
        <v>1698</v>
      </c>
      <c r="N145" s="36" t="s">
        <v>1250</v>
      </c>
      <c r="O145" s="34" t="s">
        <v>1170</v>
      </c>
      <c r="P145" s="34" t="s">
        <v>858</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1251</v>
      </c>
      <c r="O146" s="34" t="s">
        <v>121</v>
      </c>
      <c r="P146" s="34" t="s">
        <v>858</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1252</v>
      </c>
      <c r="O147" s="34" t="s">
        <v>121</v>
      </c>
      <c r="P147" s="34" t="s">
        <v>858</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1253</v>
      </c>
      <c r="O148" s="34" t="s">
        <v>106</v>
      </c>
      <c r="P148" s="34" t="s">
        <v>858</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1254</v>
      </c>
      <c r="O149" s="34" t="s">
        <v>121</v>
      </c>
      <c r="P149" s="34" t="s">
        <v>858</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1255</v>
      </c>
      <c r="O150" s="34" t="s">
        <v>106</v>
      </c>
      <c r="P150" s="34" t="s">
        <v>858</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1256</v>
      </c>
      <c r="O151" s="34" t="s">
        <v>121</v>
      </c>
      <c r="P151" s="34" t="s">
        <v>858</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1258</v>
      </c>
      <c r="G153" s="483"/>
      <c r="H153" s="483"/>
      <c r="I153" s="485">
        <v>168917.20999999988</v>
      </c>
      <c r="J153" s="484"/>
      <c r="K153" s="483"/>
      <c r="L153" s="483"/>
      <c r="M153" s="483"/>
      <c r="N153" s="92"/>
      <c r="O153" s="92"/>
      <c r="P153" s="92"/>
    </row>
    <row r="154" spans="1:16" ht="23.25" x14ac:dyDescent="0.35">
      <c r="A154" s="92"/>
      <c r="B154" s="92"/>
      <c r="C154" s="92"/>
      <c r="D154" s="92"/>
      <c r="E154" s="487" t="s">
        <v>1259</v>
      </c>
      <c r="G154" s="483"/>
      <c r="H154" s="483"/>
      <c r="I154" s="483"/>
      <c r="J154" s="484"/>
      <c r="K154" s="483"/>
      <c r="L154" s="483"/>
      <c r="M154" s="486">
        <v>1698</v>
      </c>
      <c r="N154" s="92"/>
      <c r="O154" s="92"/>
      <c r="P154" s="92"/>
    </row>
    <row r="155" spans="1:16" customFormat="1" ht="27" thickBot="1" x14ac:dyDescent="0.45">
      <c r="A155" s="403" t="s">
        <v>1035</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849</v>
      </c>
      <c r="D158" s="346"/>
      <c r="E158" s="346"/>
      <c r="F158" s="346"/>
      <c r="G158" s="347" t="s">
        <v>113</v>
      </c>
      <c r="H158" s="347"/>
      <c r="I158" s="347" t="s">
        <v>903</v>
      </c>
      <c r="J158" s="468" t="s">
        <v>1229</v>
      </c>
      <c r="K158" s="526" t="s">
        <v>1087</v>
      </c>
      <c r="L158" s="526"/>
    </row>
    <row r="159" spans="1:16" customFormat="1" x14ac:dyDescent="0.25">
      <c r="C159" s="349"/>
      <c r="D159" s="350"/>
      <c r="E159" s="350"/>
      <c r="F159" s="350"/>
      <c r="G159" s="351"/>
      <c r="H159" s="351"/>
      <c r="I159" s="351"/>
      <c r="J159" s="469"/>
      <c r="K159" s="527" t="s">
        <v>1088</v>
      </c>
      <c r="L159" s="528">
        <v>245012.59</v>
      </c>
    </row>
    <row r="160" spans="1:16" customFormat="1" x14ac:dyDescent="0.25">
      <c r="C160" s="470" t="s">
        <v>863</v>
      </c>
      <c r="D160" s="350"/>
      <c r="E160" s="351"/>
      <c r="F160" s="350"/>
      <c r="G160" s="351">
        <f>SUM(G6:G28)+SUM(G30:G33)+SUM(G36:G37)+G39+SUM(G44:G46)+SUM(G49:G81)+SUM(G83:G84)+G86+G99+G101+G102+G105+SUM(G106:G109)+G113+G123+G137</f>
        <v>282880</v>
      </c>
      <c r="H160" s="351"/>
      <c r="I160" s="413"/>
      <c r="J160" s="469"/>
      <c r="K160" s="527" t="s">
        <v>1089</v>
      </c>
      <c r="L160" s="528">
        <v>242001.18</v>
      </c>
    </row>
    <row r="161" spans="3:12" customFormat="1" x14ac:dyDescent="0.25">
      <c r="C161" s="471" t="s">
        <v>904</v>
      </c>
      <c r="D161" s="350"/>
      <c r="E161" s="350"/>
      <c r="F161" s="350"/>
      <c r="G161" s="351">
        <f>G100+G103+G104+G110+G112+G114+G115</f>
        <v>33000</v>
      </c>
      <c r="H161" s="351"/>
      <c r="I161" s="351">
        <f>K97+K116+K118</f>
        <v>93516</v>
      </c>
      <c r="J161" s="472">
        <f>I161-G161</f>
        <v>60516</v>
      </c>
      <c r="K161" s="529" t="s">
        <v>1090</v>
      </c>
      <c r="L161" s="528">
        <v>225000</v>
      </c>
    </row>
    <row r="162" spans="3:12" customFormat="1" x14ac:dyDescent="0.25">
      <c r="C162" s="473" t="s">
        <v>905</v>
      </c>
      <c r="D162" s="351">
        <f>G35</f>
        <v>3000</v>
      </c>
      <c r="E162" s="351"/>
      <c r="F162" s="350"/>
      <c r="G162" s="351">
        <f>D162</f>
        <v>3000</v>
      </c>
      <c r="H162" s="351"/>
      <c r="I162" s="351"/>
      <c r="J162" s="472"/>
      <c r="K162" s="529" t="s">
        <v>1091</v>
      </c>
      <c r="L162" s="528">
        <f>G160</f>
        <v>282880</v>
      </c>
    </row>
    <row r="163" spans="3:12" customFormat="1" ht="30" x14ac:dyDescent="0.25">
      <c r="C163" s="474" t="s">
        <v>906</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907</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908</v>
      </c>
      <c r="D167" s="350"/>
      <c r="E167" s="350"/>
      <c r="F167" s="350"/>
      <c r="G167" s="413"/>
      <c r="H167" s="351"/>
      <c r="I167" s="351">
        <f>SUM(K143+K145)</f>
        <v>3888</v>
      </c>
      <c r="J167" s="472"/>
      <c r="K167" t="s">
        <v>1257</v>
      </c>
    </row>
    <row r="168" spans="3:12" customFormat="1" x14ac:dyDescent="0.25">
      <c r="C168" s="399" t="s">
        <v>1048</v>
      </c>
      <c r="D168" s="350"/>
      <c r="E168" s="350"/>
      <c r="F168" s="350"/>
      <c r="G168" s="351"/>
      <c r="H168" s="351"/>
      <c r="I168" s="351">
        <v>2000</v>
      </c>
      <c r="J168" s="469"/>
    </row>
    <row r="169" spans="3:12" customFormat="1" x14ac:dyDescent="0.25">
      <c r="C169" s="478" t="s">
        <v>1071</v>
      </c>
      <c r="D169" s="350"/>
      <c r="E169" s="350"/>
      <c r="F169" s="350"/>
      <c r="G169" s="351">
        <f>G87+G88</f>
        <v>2000</v>
      </c>
      <c r="H169" s="351"/>
      <c r="I169" s="351">
        <v>2000</v>
      </c>
      <c r="J169" s="472">
        <f>I169-G169</f>
        <v>0</v>
      </c>
    </row>
    <row r="170" spans="3:12" customFormat="1" ht="18.75" x14ac:dyDescent="0.3">
      <c r="C170" s="349"/>
      <c r="D170" s="353" t="s">
        <v>801</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909</v>
      </c>
      <c r="E172" s="361"/>
      <c r="F172" s="361"/>
      <c r="G172" s="362"/>
      <c r="H172" s="362"/>
      <c r="I172" s="531">
        <f>I170-G170</f>
        <v>-59697.510000000009</v>
      </c>
      <c r="J172" s="532" t="s">
        <v>1279</v>
      </c>
    </row>
    <row r="173" spans="3:12" customFormat="1" ht="21" x14ac:dyDescent="0.35">
      <c r="C173" s="524" t="s">
        <v>1277</v>
      </c>
      <c r="D173" s="525"/>
      <c r="E173" s="525"/>
      <c r="F173" s="525"/>
      <c r="G173" s="533">
        <v>42397</v>
      </c>
      <c r="H173" s="19"/>
      <c r="I173" s="19" t="s">
        <v>1278</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150"/>
  <sheetViews>
    <sheetView tabSelected="1" workbookViewId="0">
      <pane xSplit="6" ySplit="5" topLeftCell="G124" activePane="bottomRight" state="frozen"/>
      <selection pane="topRight" activeCell="G1" sqref="G1"/>
      <selection pane="bottomLeft" activeCell="A6" sqref="A6"/>
      <selection pane="bottomRight" activeCell="K143" sqref="K143"/>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533</v>
      </c>
      <c r="B1" s="20"/>
      <c r="C1" s="2"/>
      <c r="D1" s="2"/>
      <c r="E1" s="2"/>
      <c r="F1" s="1"/>
      <c r="G1" s="3"/>
      <c r="H1" s="3"/>
      <c r="I1" s="75"/>
      <c r="J1" s="75"/>
      <c r="K1" s="5"/>
      <c r="L1" s="5"/>
      <c r="M1" s="5"/>
      <c r="N1" s="2"/>
      <c r="O1" s="1"/>
      <c r="P1" s="1"/>
    </row>
    <row r="2" spans="1:16" x14ac:dyDescent="0.25">
      <c r="A2" s="6"/>
      <c r="B2" s="21"/>
      <c r="C2" s="7"/>
      <c r="D2" s="7"/>
      <c r="E2" s="7"/>
      <c r="F2" s="6"/>
      <c r="G2" s="597" t="s">
        <v>1</v>
      </c>
      <c r="H2" s="597"/>
      <c r="I2" s="597"/>
      <c r="J2" s="597"/>
      <c r="K2" s="599" t="s">
        <v>804</v>
      </c>
      <c r="L2" s="600"/>
      <c r="M2" s="388" t="s">
        <v>11</v>
      </c>
      <c r="N2" s="246"/>
      <c r="O2" s="34" t="s">
        <v>849</v>
      </c>
      <c r="P2" s="34" t="s">
        <v>850</v>
      </c>
    </row>
    <row r="3" spans="1:16" s="377" customFormat="1" x14ac:dyDescent="0.25">
      <c r="A3" s="115" t="s">
        <v>3</v>
      </c>
      <c r="B3" s="116" t="s">
        <v>4</v>
      </c>
      <c r="C3" s="117" t="s">
        <v>5</v>
      </c>
      <c r="D3" s="117" t="s">
        <v>6</v>
      </c>
      <c r="E3" s="117" t="s">
        <v>988</v>
      </c>
      <c r="F3" s="115" t="s">
        <v>7</v>
      </c>
      <c r="G3" s="118" t="s">
        <v>8</v>
      </c>
      <c r="H3" s="118" t="s">
        <v>9</v>
      </c>
      <c r="I3" s="119" t="s">
        <v>729</v>
      </c>
      <c r="J3" s="119" t="s">
        <v>11</v>
      </c>
      <c r="K3" s="121" t="s">
        <v>10</v>
      </c>
      <c r="L3" s="121" t="s">
        <v>11</v>
      </c>
      <c r="M3" s="389" t="s">
        <v>206</v>
      </c>
      <c r="N3" s="247" t="s">
        <v>13</v>
      </c>
      <c r="O3" s="252"/>
      <c r="P3" s="252"/>
    </row>
    <row r="4" spans="1:16" s="377" customFormat="1" ht="45" x14ac:dyDescent="0.25">
      <c r="A4" s="224"/>
      <c r="B4" s="225"/>
      <c r="C4" s="226"/>
      <c r="D4" s="226"/>
      <c r="E4" s="226"/>
      <c r="F4" s="224"/>
      <c r="G4" s="228" t="s">
        <v>1168</v>
      </c>
      <c r="H4" s="227"/>
      <c r="I4" s="228"/>
      <c r="J4" s="228"/>
      <c r="K4" s="230"/>
      <c r="L4" s="230"/>
      <c r="M4" s="390"/>
      <c r="N4" s="257"/>
      <c r="O4" s="252"/>
      <c r="P4" s="252"/>
    </row>
    <row r="5" spans="1:16" ht="42" x14ac:dyDescent="0.35">
      <c r="A5" s="135"/>
      <c r="B5" s="136"/>
      <c r="C5" s="203" t="s">
        <v>1280</v>
      </c>
      <c r="D5" s="137"/>
      <c r="E5" s="137"/>
      <c r="F5" s="135"/>
      <c r="G5" s="138"/>
      <c r="H5" s="138"/>
      <c r="I5" s="139">
        <v>168917.20999999988</v>
      </c>
      <c r="J5" s="139">
        <v>1698</v>
      </c>
      <c r="K5" s="142"/>
      <c r="L5" s="142"/>
      <c r="M5" s="397"/>
      <c r="N5" s="258"/>
      <c r="O5" s="253"/>
      <c r="P5" s="253"/>
    </row>
    <row r="6" spans="1:16" ht="60" x14ac:dyDescent="0.25">
      <c r="A6" s="34"/>
      <c r="B6" s="35">
        <v>45750</v>
      </c>
      <c r="C6" s="36" t="s">
        <v>911</v>
      </c>
      <c r="D6" s="36" t="s">
        <v>912</v>
      </c>
      <c r="E6" s="36" t="s">
        <v>37</v>
      </c>
      <c r="F6" s="34"/>
      <c r="G6" s="37">
        <v>2500</v>
      </c>
      <c r="H6" s="37"/>
      <c r="I6" s="86">
        <f>I5+G6-K6</f>
        <v>171417.20999999988</v>
      </c>
      <c r="J6" s="86"/>
      <c r="K6" s="39"/>
      <c r="L6" s="39"/>
      <c r="M6" s="391">
        <f>J5</f>
        <v>1698</v>
      </c>
      <c r="N6" s="181" t="s">
        <v>1281</v>
      </c>
      <c r="O6" s="34" t="s">
        <v>8</v>
      </c>
      <c r="P6" s="34" t="s">
        <v>886</v>
      </c>
    </row>
    <row r="7" spans="1:16" ht="30" x14ac:dyDescent="0.25">
      <c r="A7" s="34"/>
      <c r="B7" s="35">
        <v>45750</v>
      </c>
      <c r="C7" s="36" t="s">
        <v>321</v>
      </c>
      <c r="D7" s="36" t="s">
        <v>927</v>
      </c>
      <c r="E7" s="36" t="s">
        <v>29</v>
      </c>
      <c r="F7" s="34"/>
      <c r="G7" s="37">
        <v>2500</v>
      </c>
      <c r="H7" s="37"/>
      <c r="I7" s="86">
        <f t="shared" ref="I7:I31" si="0">I6+G7-K7</f>
        <v>173917.20999999988</v>
      </c>
      <c r="J7" s="86"/>
      <c r="K7" s="39"/>
      <c r="L7" s="39"/>
      <c r="M7" s="391">
        <f>M6+J7-L7</f>
        <v>1698</v>
      </c>
      <c r="N7" s="181" t="s">
        <v>1282</v>
      </c>
      <c r="O7" s="34" t="s">
        <v>8</v>
      </c>
      <c r="P7" s="34" t="s">
        <v>886</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1283</v>
      </c>
      <c r="O8" s="34" t="s">
        <v>8</v>
      </c>
      <c r="P8" s="34" t="s">
        <v>886</v>
      </c>
    </row>
    <row r="9" spans="1:16" ht="60" x14ac:dyDescent="0.25">
      <c r="A9" s="34"/>
      <c r="B9" s="35">
        <v>45752</v>
      </c>
      <c r="C9" s="36" t="s">
        <v>146</v>
      </c>
      <c r="D9" s="36" t="s">
        <v>552</v>
      </c>
      <c r="E9" s="36" t="s">
        <v>994</v>
      </c>
      <c r="F9" s="34"/>
      <c r="G9" s="37">
        <v>2500</v>
      </c>
      <c r="H9" s="37"/>
      <c r="I9" s="86">
        <f t="shared" si="0"/>
        <v>178917.20999999988</v>
      </c>
      <c r="J9" s="86"/>
      <c r="K9" s="39"/>
      <c r="L9" s="39"/>
      <c r="M9" s="391">
        <f t="shared" si="1"/>
        <v>1698</v>
      </c>
      <c r="N9" s="181" t="s">
        <v>1284</v>
      </c>
      <c r="O9" s="34" t="s">
        <v>8</v>
      </c>
      <c r="P9" s="34" t="s">
        <v>886</v>
      </c>
    </row>
    <row r="10" spans="1:16" ht="60" x14ac:dyDescent="0.25">
      <c r="A10" s="34"/>
      <c r="B10" s="35">
        <v>45752</v>
      </c>
      <c r="C10" s="36" t="s">
        <v>1286</v>
      </c>
      <c r="D10" s="36" t="s">
        <v>37</v>
      </c>
      <c r="E10" s="36" t="s">
        <v>37</v>
      </c>
      <c r="F10" s="34"/>
      <c r="G10" s="37">
        <v>2500</v>
      </c>
      <c r="H10" s="37"/>
      <c r="I10" s="86">
        <f t="shared" si="0"/>
        <v>181417.20999999988</v>
      </c>
      <c r="J10" s="86"/>
      <c r="K10" s="39"/>
      <c r="L10" s="39"/>
      <c r="M10" s="391">
        <f t="shared" si="1"/>
        <v>1698</v>
      </c>
      <c r="N10" s="181" t="s">
        <v>1285</v>
      </c>
      <c r="O10" s="34" t="s">
        <v>8</v>
      </c>
      <c r="P10" s="34" t="s">
        <v>886</v>
      </c>
    </row>
    <row r="11" spans="1:16" ht="60" x14ac:dyDescent="0.25">
      <c r="A11" s="34"/>
      <c r="B11" s="35">
        <v>45754</v>
      </c>
      <c r="C11" s="36" t="s">
        <v>15</v>
      </c>
      <c r="D11" s="36" t="s">
        <v>1287</v>
      </c>
      <c r="E11" s="36" t="s">
        <v>29</v>
      </c>
      <c r="F11" s="34"/>
      <c r="G11" s="37">
        <v>2512</v>
      </c>
      <c r="H11" s="37"/>
      <c r="I11" s="86">
        <f t="shared" si="0"/>
        <v>183929.20999999988</v>
      </c>
      <c r="J11" s="86"/>
      <c r="K11" s="39"/>
      <c r="L11" s="39"/>
      <c r="M11" s="391">
        <f t="shared" si="1"/>
        <v>1698</v>
      </c>
      <c r="N11" s="181" t="s">
        <v>1288</v>
      </c>
      <c r="O11" s="34" t="s">
        <v>8</v>
      </c>
      <c r="P11" s="34" t="s">
        <v>886</v>
      </c>
    </row>
    <row r="12" spans="1:16" ht="60" x14ac:dyDescent="0.25">
      <c r="A12" s="534"/>
      <c r="B12" s="535">
        <v>45754</v>
      </c>
      <c r="C12" s="536" t="s">
        <v>1290</v>
      </c>
      <c r="D12" s="536"/>
      <c r="E12" s="36"/>
      <c r="F12" s="34"/>
      <c r="G12" s="37">
        <v>9474</v>
      </c>
      <c r="H12" s="37"/>
      <c r="I12" s="86">
        <f t="shared" si="0"/>
        <v>193403.20999999988</v>
      </c>
      <c r="J12" s="86"/>
      <c r="K12" s="39"/>
      <c r="L12" s="39"/>
      <c r="M12" s="391">
        <f t="shared" si="1"/>
        <v>1698</v>
      </c>
      <c r="N12" s="181" t="s">
        <v>1289</v>
      </c>
      <c r="O12" s="34" t="s">
        <v>1290</v>
      </c>
      <c r="P12" s="34" t="s">
        <v>886</v>
      </c>
    </row>
    <row r="13" spans="1:16" ht="45" x14ac:dyDescent="0.25">
      <c r="A13" s="34"/>
      <c r="B13" s="35">
        <v>45755</v>
      </c>
      <c r="C13" s="36" t="s">
        <v>935</v>
      </c>
      <c r="D13" s="36" t="s">
        <v>1291</v>
      </c>
      <c r="E13" s="36" t="s">
        <v>29</v>
      </c>
      <c r="F13" s="34"/>
      <c r="G13" s="37">
        <v>7500</v>
      </c>
      <c r="H13" s="37"/>
      <c r="I13" s="86">
        <f t="shared" si="0"/>
        <v>200903.20999999988</v>
      </c>
      <c r="J13" s="86"/>
      <c r="K13" s="39"/>
      <c r="L13" s="39"/>
      <c r="M13" s="391">
        <f t="shared" si="1"/>
        <v>1698</v>
      </c>
      <c r="N13" s="181" t="s">
        <v>1292</v>
      </c>
      <c r="O13" s="34" t="s">
        <v>8</v>
      </c>
      <c r="P13" s="34" t="s">
        <v>886</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1295</v>
      </c>
      <c r="O14" s="34" t="s">
        <v>1293</v>
      </c>
      <c r="P14" s="34" t="s">
        <v>858</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1294</v>
      </c>
      <c r="O15" s="34" t="s">
        <v>121</v>
      </c>
      <c r="P15" s="34" t="s">
        <v>858</v>
      </c>
    </row>
    <row r="16" spans="1:16" ht="60" x14ac:dyDescent="0.25">
      <c r="A16" s="34"/>
      <c r="B16" s="35">
        <v>45756</v>
      </c>
      <c r="C16" s="36" t="s">
        <v>555</v>
      </c>
      <c r="D16" s="36" t="s">
        <v>557</v>
      </c>
      <c r="E16" s="36" t="s">
        <v>989</v>
      </c>
      <c r="F16" s="34"/>
      <c r="G16" s="37">
        <v>1500</v>
      </c>
      <c r="H16" s="37"/>
      <c r="I16" s="86">
        <f t="shared" si="0"/>
        <v>201276.30999999988</v>
      </c>
      <c r="J16" s="86"/>
      <c r="K16" s="39"/>
      <c r="L16" s="39"/>
      <c r="M16" s="391">
        <f t="shared" si="1"/>
        <v>1698</v>
      </c>
      <c r="N16" s="181" t="s">
        <v>1296</v>
      </c>
      <c r="O16" s="34" t="s">
        <v>8</v>
      </c>
      <c r="P16" s="34" t="s">
        <v>886</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1297</v>
      </c>
      <c r="O17" s="34" t="s">
        <v>1293</v>
      </c>
      <c r="P17" s="34" t="s">
        <v>858</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1298</v>
      </c>
      <c r="O18" s="34" t="s">
        <v>121</v>
      </c>
      <c r="P18" s="34" t="s">
        <v>858</v>
      </c>
    </row>
    <row r="19" spans="1:16" ht="30" x14ac:dyDescent="0.25">
      <c r="A19" s="34"/>
      <c r="B19" s="35">
        <v>45765</v>
      </c>
      <c r="C19" s="36" t="s">
        <v>957</v>
      </c>
      <c r="D19" s="36" t="s">
        <v>569</v>
      </c>
      <c r="E19" s="36"/>
      <c r="F19" s="34"/>
      <c r="G19" s="37">
        <v>5000</v>
      </c>
      <c r="H19" s="37"/>
      <c r="I19" s="86">
        <f t="shared" si="0"/>
        <v>162725.45999999988</v>
      </c>
      <c r="J19" s="86"/>
      <c r="K19" s="39"/>
      <c r="L19" s="39"/>
      <c r="M19" s="391">
        <f t="shared" si="1"/>
        <v>1698</v>
      </c>
      <c r="N19" s="181" t="s">
        <v>1300</v>
      </c>
      <c r="O19" s="34" t="s">
        <v>8</v>
      </c>
      <c r="P19" s="34" t="s">
        <v>886</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1301</v>
      </c>
      <c r="O20" s="34" t="s">
        <v>8</v>
      </c>
      <c r="P20" s="34" t="s">
        <v>886</v>
      </c>
    </row>
    <row r="21" spans="1:16" ht="60" x14ac:dyDescent="0.25">
      <c r="A21" s="34"/>
      <c r="B21" s="35">
        <v>45773</v>
      </c>
      <c r="C21" s="36" t="s">
        <v>73</v>
      </c>
      <c r="D21" s="36" t="s">
        <v>382</v>
      </c>
      <c r="E21" s="36" t="s">
        <v>994</v>
      </c>
      <c r="F21" s="34"/>
      <c r="G21" s="37">
        <v>1500</v>
      </c>
      <c r="H21" s="37"/>
      <c r="I21" s="86">
        <f t="shared" si="0"/>
        <v>174225.45999999988</v>
      </c>
      <c r="J21" s="86"/>
      <c r="K21" s="39"/>
      <c r="L21" s="39"/>
      <c r="M21" s="391">
        <f t="shared" si="1"/>
        <v>1698</v>
      </c>
      <c r="N21" s="181" t="s">
        <v>1302</v>
      </c>
      <c r="O21" s="34" t="s">
        <v>8</v>
      </c>
      <c r="P21" s="34" t="s">
        <v>886</v>
      </c>
    </row>
    <row r="22" spans="1:16" ht="60" x14ac:dyDescent="0.25">
      <c r="A22" s="34"/>
      <c r="B22" s="35">
        <v>45773</v>
      </c>
      <c r="C22" s="537" t="s">
        <v>1304</v>
      </c>
      <c r="D22" s="36" t="s">
        <v>1303</v>
      </c>
      <c r="E22" s="36" t="s">
        <v>1305</v>
      </c>
      <c r="F22" s="34"/>
      <c r="G22" s="37">
        <v>7500</v>
      </c>
      <c r="H22" s="37"/>
      <c r="I22" s="86">
        <f t="shared" si="0"/>
        <v>181725.45999999988</v>
      </c>
      <c r="J22" s="86"/>
      <c r="K22" s="39"/>
      <c r="L22" s="39"/>
      <c r="M22" s="391">
        <f t="shared" si="1"/>
        <v>1698</v>
      </c>
      <c r="N22" s="181" t="s">
        <v>1306</v>
      </c>
      <c r="O22" s="34" t="s">
        <v>8</v>
      </c>
      <c r="P22" s="34" t="s">
        <v>886</v>
      </c>
    </row>
    <row r="23" spans="1:16" ht="60" x14ac:dyDescent="0.25">
      <c r="A23" s="34"/>
      <c r="B23" s="35">
        <v>45773</v>
      </c>
      <c r="C23" s="36" t="s">
        <v>136</v>
      </c>
      <c r="D23" s="36" t="s">
        <v>1096</v>
      </c>
      <c r="E23" s="36" t="s">
        <v>990</v>
      </c>
      <c r="F23" s="34"/>
      <c r="G23" s="37">
        <v>2500</v>
      </c>
      <c r="H23" s="37"/>
      <c r="I23" s="86">
        <f t="shared" si="0"/>
        <v>184225.45999999988</v>
      </c>
      <c r="J23" s="86"/>
      <c r="K23" s="39"/>
      <c r="L23" s="39"/>
      <c r="M23" s="391">
        <f t="shared" si="1"/>
        <v>1698</v>
      </c>
      <c r="N23" s="181" t="s">
        <v>1307</v>
      </c>
      <c r="O23" s="34" t="s">
        <v>8</v>
      </c>
      <c r="P23" s="34" t="s">
        <v>886</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1308</v>
      </c>
      <c r="O24" s="34" t="s">
        <v>245</v>
      </c>
      <c r="P24" s="34" t="s">
        <v>886</v>
      </c>
    </row>
    <row r="25" spans="1:16" ht="60" x14ac:dyDescent="0.25">
      <c r="A25" s="34"/>
      <c r="B25" s="35">
        <v>45780</v>
      </c>
      <c r="C25" s="36" t="s">
        <v>647</v>
      </c>
      <c r="D25" s="36" t="s">
        <v>178</v>
      </c>
      <c r="E25" s="36" t="s">
        <v>29</v>
      </c>
      <c r="F25" s="34"/>
      <c r="G25" s="37">
        <v>10000</v>
      </c>
      <c r="H25" s="37"/>
      <c r="I25" s="86">
        <f t="shared" si="0"/>
        <v>195409.45999999988</v>
      </c>
      <c r="J25" s="86"/>
      <c r="K25" s="39"/>
      <c r="L25" s="39"/>
      <c r="M25" s="391">
        <f t="shared" si="1"/>
        <v>1698</v>
      </c>
      <c r="N25" s="181" t="s">
        <v>1309</v>
      </c>
      <c r="O25" s="34" t="s">
        <v>8</v>
      </c>
      <c r="P25" s="34" t="s">
        <v>886</v>
      </c>
    </row>
    <row r="26" spans="1:16" x14ac:dyDescent="0.25">
      <c r="A26" s="540"/>
      <c r="B26" s="541">
        <v>45783</v>
      </c>
      <c r="C26" s="542" t="s">
        <v>1312</v>
      </c>
      <c r="D26" s="542" t="s">
        <v>1314</v>
      </c>
      <c r="E26" s="36"/>
      <c r="F26" s="34"/>
      <c r="G26" s="37"/>
      <c r="H26" s="37"/>
      <c r="I26" s="86">
        <f t="shared" si="0"/>
        <v>145409.45999999988</v>
      </c>
      <c r="J26" s="86"/>
      <c r="K26" s="39">
        <v>50000</v>
      </c>
      <c r="L26" s="39"/>
      <c r="M26" s="391">
        <f t="shared" si="1"/>
        <v>1698</v>
      </c>
      <c r="N26" s="181" t="s">
        <v>1310</v>
      </c>
      <c r="O26" s="34" t="s">
        <v>1313</v>
      </c>
      <c r="P26" s="34" t="s">
        <v>858</v>
      </c>
    </row>
    <row r="27" spans="1:16" x14ac:dyDescent="0.25">
      <c r="A27" s="540"/>
      <c r="B27" s="541">
        <v>45783</v>
      </c>
      <c r="C27" s="542" t="s">
        <v>1312</v>
      </c>
      <c r="D27" s="542" t="s">
        <v>1314</v>
      </c>
      <c r="E27" s="36"/>
      <c r="F27" s="34"/>
      <c r="G27" s="37"/>
      <c r="H27" s="37"/>
      <c r="I27" s="86">
        <f t="shared" si="0"/>
        <v>95409.459999999875</v>
      </c>
      <c r="J27" s="86"/>
      <c r="K27" s="39">
        <v>50000</v>
      </c>
      <c r="L27" s="39"/>
      <c r="M27" s="391">
        <f t="shared" si="1"/>
        <v>1698</v>
      </c>
      <c r="N27" s="181" t="s">
        <v>1311</v>
      </c>
      <c r="O27" s="34" t="s">
        <v>1313</v>
      </c>
      <c r="P27" s="34" t="s">
        <v>858</v>
      </c>
    </row>
    <row r="28" spans="1:16" ht="60" x14ac:dyDescent="0.25">
      <c r="A28" s="34"/>
      <c r="B28" s="35">
        <v>45792</v>
      </c>
      <c r="C28" s="36" t="s">
        <v>1318</v>
      </c>
      <c r="D28" s="36" t="s">
        <v>1317</v>
      </c>
      <c r="E28" s="36" t="s">
        <v>68</v>
      </c>
      <c r="F28" s="34"/>
      <c r="G28" s="37">
        <v>2500</v>
      </c>
      <c r="H28" s="37"/>
      <c r="I28" s="86">
        <f t="shared" si="0"/>
        <v>97909.459999999875</v>
      </c>
      <c r="J28" s="86"/>
      <c r="K28" s="39"/>
      <c r="L28" s="39"/>
      <c r="M28" s="391">
        <f t="shared" si="1"/>
        <v>1698</v>
      </c>
      <c r="N28" s="181" t="s">
        <v>1316</v>
      </c>
      <c r="O28" s="34" t="s">
        <v>8</v>
      </c>
      <c r="P28" s="34" t="s">
        <v>858</v>
      </c>
    </row>
    <row r="29" spans="1:16" x14ac:dyDescent="0.25">
      <c r="A29" s="34"/>
      <c r="B29" s="35">
        <v>45794</v>
      </c>
      <c r="C29" s="36" t="s">
        <v>1319</v>
      </c>
      <c r="D29" s="36"/>
      <c r="E29" s="36"/>
      <c r="F29" s="34"/>
      <c r="G29" s="37">
        <v>2500</v>
      </c>
      <c r="H29" s="37"/>
      <c r="I29" s="86">
        <f t="shared" si="0"/>
        <v>100409.45999999988</v>
      </c>
      <c r="J29" s="86"/>
      <c r="K29" s="39"/>
      <c r="L29" s="39"/>
      <c r="M29" s="391">
        <f t="shared" si="1"/>
        <v>1698</v>
      </c>
      <c r="N29" s="181" t="s">
        <v>1320</v>
      </c>
      <c r="O29" s="34" t="s">
        <v>8</v>
      </c>
      <c r="P29" s="34" t="s">
        <v>886</v>
      </c>
    </row>
    <row r="30" spans="1:16" x14ac:dyDescent="0.25">
      <c r="A30" s="34"/>
      <c r="B30" s="35">
        <v>45794</v>
      </c>
      <c r="C30" s="36" t="s">
        <v>39</v>
      </c>
      <c r="D30" s="36" t="s">
        <v>1325</v>
      </c>
      <c r="E30" s="36" t="s">
        <v>1305</v>
      </c>
      <c r="F30" s="34"/>
      <c r="G30" s="37">
        <v>2500</v>
      </c>
      <c r="H30" s="37"/>
      <c r="I30" s="86">
        <f t="shared" si="0"/>
        <v>102909.45999999988</v>
      </c>
      <c r="J30" s="86"/>
      <c r="K30" s="39"/>
      <c r="L30" s="39"/>
      <c r="M30" s="391">
        <f t="shared" si="1"/>
        <v>1698</v>
      </c>
      <c r="N30" s="181" t="s">
        <v>1321</v>
      </c>
      <c r="O30" s="34" t="s">
        <v>8</v>
      </c>
      <c r="P30" s="34" t="s">
        <v>886</v>
      </c>
    </row>
    <row r="31" spans="1:16" ht="15" customHeight="1" x14ac:dyDescent="0.25">
      <c r="A31" s="34"/>
      <c r="B31" s="35">
        <v>45794</v>
      </c>
      <c r="C31" s="36" t="s">
        <v>1323</v>
      </c>
      <c r="D31" s="36" t="s">
        <v>1324</v>
      </c>
      <c r="E31" s="36" t="s">
        <v>1305</v>
      </c>
      <c r="F31" s="34"/>
      <c r="G31" s="37">
        <v>10000</v>
      </c>
      <c r="H31" s="37"/>
      <c r="I31" s="86">
        <f t="shared" si="0"/>
        <v>112909.45999999988</v>
      </c>
      <c r="J31" s="86"/>
      <c r="K31" s="39"/>
      <c r="L31" s="39"/>
      <c r="M31" s="391">
        <f t="shared" si="1"/>
        <v>1698</v>
      </c>
      <c r="N31" s="181" t="s">
        <v>1322</v>
      </c>
      <c r="O31" s="34" t="s">
        <v>8</v>
      </c>
      <c r="P31" s="34" t="s">
        <v>886</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1326</v>
      </c>
      <c r="O32" s="34" t="s">
        <v>121</v>
      </c>
      <c r="P32" s="34" t="s">
        <v>858</v>
      </c>
    </row>
    <row r="33" spans="1:16" ht="60" x14ac:dyDescent="0.25">
      <c r="A33" s="34"/>
      <c r="B33" s="35">
        <v>45808</v>
      </c>
      <c r="C33" s="36" t="s">
        <v>76</v>
      </c>
      <c r="D33" s="36" t="s">
        <v>225</v>
      </c>
      <c r="E33" s="36" t="s">
        <v>989</v>
      </c>
      <c r="F33" s="34"/>
      <c r="G33" s="37">
        <v>2500</v>
      </c>
      <c r="H33" s="37"/>
      <c r="I33" s="86">
        <f t="shared" ref="I33:I96" si="2">I32+G33-K33</f>
        <v>115409.21999999987</v>
      </c>
      <c r="J33" s="86"/>
      <c r="K33" s="39"/>
      <c r="L33" s="39"/>
      <c r="M33" s="391">
        <f t="shared" si="1"/>
        <v>1698</v>
      </c>
      <c r="N33" s="181" t="s">
        <v>1329</v>
      </c>
      <c r="O33" s="34" t="s">
        <v>8</v>
      </c>
      <c r="P33" s="34" t="s">
        <v>886</v>
      </c>
    </row>
    <row r="34" spans="1:16" ht="30" x14ac:dyDescent="0.25">
      <c r="A34" s="546"/>
      <c r="B34" s="35">
        <v>45814</v>
      </c>
      <c r="C34" s="36" t="s">
        <v>1331</v>
      </c>
      <c r="D34" s="36"/>
      <c r="E34" s="36"/>
      <c r="F34" s="34"/>
      <c r="G34" s="37">
        <v>7500</v>
      </c>
      <c r="H34" s="37"/>
      <c r="I34" s="86">
        <f t="shared" si="2"/>
        <v>122909.21999999987</v>
      </c>
      <c r="J34" s="86"/>
      <c r="K34" s="39"/>
      <c r="L34" s="39"/>
      <c r="M34" s="391">
        <f t="shared" si="1"/>
        <v>1698</v>
      </c>
      <c r="N34" s="181" t="s">
        <v>1330</v>
      </c>
      <c r="O34" s="34" t="s">
        <v>8</v>
      </c>
      <c r="P34" s="34" t="s">
        <v>886</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1332</v>
      </c>
      <c r="O35" s="34" t="s">
        <v>121</v>
      </c>
      <c r="P35" s="34" t="s">
        <v>858</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1333</v>
      </c>
      <c r="O36" s="34" t="s">
        <v>1293</v>
      </c>
      <c r="P36" s="34" t="s">
        <v>858</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1334</v>
      </c>
      <c r="O37" s="34" t="s">
        <v>121</v>
      </c>
      <c r="P37" s="34" t="s">
        <v>858</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1335</v>
      </c>
      <c r="O38" s="34" t="s">
        <v>245</v>
      </c>
      <c r="P38" s="34" t="s">
        <v>886</v>
      </c>
    </row>
    <row r="39" spans="1:16" ht="45" x14ac:dyDescent="0.25">
      <c r="A39" s="34"/>
      <c r="B39" s="35">
        <v>45879</v>
      </c>
      <c r="C39" s="36" t="s">
        <v>1336</v>
      </c>
      <c r="D39" s="36" t="s">
        <v>1337</v>
      </c>
      <c r="E39" s="36" t="s">
        <v>29</v>
      </c>
      <c r="F39" s="34"/>
      <c r="G39" s="37">
        <v>100</v>
      </c>
      <c r="H39" s="37"/>
      <c r="I39" s="86">
        <f t="shared" si="2"/>
        <v>56742.659999999865</v>
      </c>
      <c r="J39" s="86"/>
      <c r="K39" s="39"/>
      <c r="L39" s="39"/>
      <c r="M39" s="391">
        <f t="shared" si="1"/>
        <v>1698</v>
      </c>
      <c r="N39" s="181" t="s">
        <v>1338</v>
      </c>
      <c r="O39" s="34" t="s">
        <v>8</v>
      </c>
      <c r="P39" s="34" t="s">
        <v>886</v>
      </c>
    </row>
    <row r="40" spans="1:16" ht="45" x14ac:dyDescent="0.25">
      <c r="A40" s="34"/>
      <c r="B40" s="35">
        <v>45881</v>
      </c>
      <c r="C40" s="36" t="s">
        <v>1336</v>
      </c>
      <c r="D40" s="36" t="s">
        <v>1337</v>
      </c>
      <c r="E40" s="36" t="s">
        <v>29</v>
      </c>
      <c r="F40" s="34"/>
      <c r="G40" s="37">
        <v>9900</v>
      </c>
      <c r="H40" s="37"/>
      <c r="I40" s="86">
        <f t="shared" si="2"/>
        <v>66642.659999999858</v>
      </c>
      <c r="J40" s="86"/>
      <c r="K40" s="39"/>
      <c r="L40" s="39"/>
      <c r="M40" s="391">
        <f t="shared" si="1"/>
        <v>1698</v>
      </c>
      <c r="N40" s="181" t="s">
        <v>1339</v>
      </c>
      <c r="O40" s="34" t="s">
        <v>8</v>
      </c>
      <c r="P40" s="34" t="s">
        <v>886</v>
      </c>
    </row>
    <row r="41" spans="1:16" x14ac:dyDescent="0.25">
      <c r="A41" s="34"/>
      <c r="B41" s="35">
        <v>45910</v>
      </c>
      <c r="C41" s="36" t="s">
        <v>307</v>
      </c>
      <c r="D41" s="36" t="s">
        <v>1341</v>
      </c>
      <c r="E41" s="36" t="s">
        <v>989</v>
      </c>
      <c r="F41" s="34"/>
      <c r="G41" s="37">
        <v>2500</v>
      </c>
      <c r="H41" s="37"/>
      <c r="I41" s="86">
        <f t="shared" si="2"/>
        <v>69142.659999999858</v>
      </c>
      <c r="J41" s="86"/>
      <c r="K41" s="39"/>
      <c r="L41" s="39"/>
      <c r="M41" s="391">
        <f t="shared" si="1"/>
        <v>1698</v>
      </c>
      <c r="N41" s="181" t="s">
        <v>1340</v>
      </c>
      <c r="O41" s="34" t="s">
        <v>8</v>
      </c>
      <c r="P41" s="34" t="s">
        <v>886</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1342</v>
      </c>
      <c r="O42" s="34" t="s">
        <v>1293</v>
      </c>
      <c r="P42" s="34" t="s">
        <v>858</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1343</v>
      </c>
      <c r="O43" s="34" t="s">
        <v>121</v>
      </c>
      <c r="P43" s="34" t="s">
        <v>858</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1345</v>
      </c>
      <c r="O44" s="34" t="s">
        <v>8</v>
      </c>
      <c r="P44" s="34" t="s">
        <v>886</v>
      </c>
    </row>
    <row r="45" spans="1:16" ht="45" x14ac:dyDescent="0.25">
      <c r="A45" s="34"/>
      <c r="B45" s="35">
        <v>45918</v>
      </c>
      <c r="C45" s="36" t="s">
        <v>979</v>
      </c>
      <c r="D45" s="36" t="s">
        <v>980</v>
      </c>
      <c r="E45" s="36" t="s">
        <v>989</v>
      </c>
      <c r="F45" s="34"/>
      <c r="G45" s="37"/>
      <c r="H45" s="37"/>
      <c r="I45" s="86">
        <f t="shared" si="2"/>
        <v>68414.759999999864</v>
      </c>
      <c r="J45" s="86">
        <v>1500</v>
      </c>
      <c r="K45" s="39"/>
      <c r="L45" s="39"/>
      <c r="M45" s="391">
        <f t="shared" si="1"/>
        <v>3198</v>
      </c>
      <c r="N45" s="181" t="s">
        <v>1344</v>
      </c>
      <c r="O45" s="34" t="s">
        <v>8</v>
      </c>
      <c r="P45" s="34" t="s">
        <v>886</v>
      </c>
    </row>
    <row r="46" spans="1:16" ht="30" x14ac:dyDescent="0.25">
      <c r="A46" s="34"/>
      <c r="B46" s="35">
        <v>45918</v>
      </c>
      <c r="C46" s="36" t="s">
        <v>722</v>
      </c>
      <c r="D46" s="36" t="s">
        <v>744</v>
      </c>
      <c r="E46" s="36" t="s">
        <v>990</v>
      </c>
      <c r="F46" s="34"/>
      <c r="G46" s="37">
        <v>2500</v>
      </c>
      <c r="H46" s="37"/>
      <c r="I46" s="86">
        <f t="shared" si="2"/>
        <v>70914.759999999864</v>
      </c>
      <c r="J46" s="86"/>
      <c r="K46" s="39"/>
      <c r="L46" s="39"/>
      <c r="M46" s="391">
        <f t="shared" si="1"/>
        <v>3198</v>
      </c>
      <c r="N46" s="181" t="s">
        <v>1346</v>
      </c>
      <c r="O46" s="34" t="s">
        <v>8</v>
      </c>
      <c r="P46" s="34" t="s">
        <v>886</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1347</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1348</v>
      </c>
      <c r="O48" s="34" t="s">
        <v>1293</v>
      </c>
      <c r="P48" s="34" t="s">
        <v>858</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1349</v>
      </c>
      <c r="O49" s="34" t="s">
        <v>1293</v>
      </c>
      <c r="P49" s="34" t="s">
        <v>858</v>
      </c>
    </row>
    <row r="50" spans="1:16" x14ac:dyDescent="0.25">
      <c r="A50" s="546"/>
      <c r="B50" s="35">
        <v>45919</v>
      </c>
      <c r="C50" s="36" t="s">
        <v>1331</v>
      </c>
      <c r="D50" s="36"/>
      <c r="E50" s="36"/>
      <c r="F50" s="34"/>
      <c r="G50" s="37">
        <v>2500</v>
      </c>
      <c r="H50" s="37"/>
      <c r="I50" s="86">
        <f t="shared" si="2"/>
        <v>66628.759999999864</v>
      </c>
      <c r="J50" s="86"/>
      <c r="K50" s="39"/>
      <c r="L50" s="39"/>
      <c r="M50" s="391">
        <f t="shared" si="1"/>
        <v>3198</v>
      </c>
      <c r="N50" s="181" t="s">
        <v>1350</v>
      </c>
      <c r="O50" s="34" t="s">
        <v>8</v>
      </c>
      <c r="P50" s="34" t="s">
        <v>886</v>
      </c>
    </row>
    <row r="51" spans="1:16" ht="30" x14ac:dyDescent="0.25">
      <c r="A51" s="34"/>
      <c r="B51" s="35">
        <v>45920</v>
      </c>
      <c r="C51" s="36" t="s">
        <v>1352</v>
      </c>
      <c r="D51" s="36" t="s">
        <v>37</v>
      </c>
      <c r="E51" s="36" t="s">
        <v>993</v>
      </c>
      <c r="F51" s="34"/>
      <c r="G51" s="37">
        <v>7500</v>
      </c>
      <c r="H51" s="37"/>
      <c r="I51" s="86">
        <f t="shared" si="2"/>
        <v>74128.759999999864</v>
      </c>
      <c r="J51" s="86"/>
      <c r="K51" s="39"/>
      <c r="L51" s="39"/>
      <c r="M51" s="391">
        <f t="shared" si="1"/>
        <v>3198</v>
      </c>
      <c r="N51" s="181" t="s">
        <v>1351</v>
      </c>
      <c r="O51" s="34" t="s">
        <v>8</v>
      </c>
      <c r="P51" s="34" t="s">
        <v>886</v>
      </c>
    </row>
    <row r="52" spans="1:16" ht="30" x14ac:dyDescent="0.25">
      <c r="A52" s="34"/>
      <c r="B52" s="35">
        <v>45920</v>
      </c>
      <c r="C52" s="36" t="s">
        <v>1021</v>
      </c>
      <c r="D52" s="36" t="s">
        <v>435</v>
      </c>
      <c r="E52" s="36" t="s">
        <v>989</v>
      </c>
      <c r="F52" s="34"/>
      <c r="G52" s="37">
        <v>1500</v>
      </c>
      <c r="H52" s="37"/>
      <c r="I52" s="86">
        <f t="shared" si="2"/>
        <v>75628.759999999864</v>
      </c>
      <c r="J52" s="86"/>
      <c r="K52" s="39"/>
      <c r="L52" s="39"/>
      <c r="M52" s="391">
        <f t="shared" si="1"/>
        <v>3198</v>
      </c>
      <c r="N52" s="181" t="s">
        <v>1353</v>
      </c>
      <c r="O52" s="34" t="s">
        <v>8</v>
      </c>
      <c r="P52" s="34" t="s">
        <v>886</v>
      </c>
    </row>
    <row r="53" spans="1:16" x14ac:dyDescent="0.25">
      <c r="A53" s="34"/>
      <c r="B53" s="35">
        <v>45920</v>
      </c>
      <c r="C53" s="36" t="s">
        <v>63</v>
      </c>
      <c r="D53" s="36" t="s">
        <v>300</v>
      </c>
      <c r="E53" s="36" t="s">
        <v>993</v>
      </c>
      <c r="F53" s="34"/>
      <c r="G53" s="37">
        <v>2500</v>
      </c>
      <c r="H53" s="37"/>
      <c r="I53" s="86">
        <f t="shared" si="2"/>
        <v>78128.759999999864</v>
      </c>
      <c r="J53" s="86"/>
      <c r="K53" s="39"/>
      <c r="L53" s="39"/>
      <c r="M53" s="391">
        <f t="shared" si="1"/>
        <v>3198</v>
      </c>
      <c r="N53" s="181" t="s">
        <v>1354</v>
      </c>
      <c r="O53" s="34" t="s">
        <v>8</v>
      </c>
      <c r="P53" s="34" t="s">
        <v>886</v>
      </c>
    </row>
    <row r="54" spans="1:16" ht="30" x14ac:dyDescent="0.25">
      <c r="A54" s="34"/>
      <c r="B54" s="35">
        <v>45920</v>
      </c>
      <c r="C54" s="36" t="s">
        <v>76</v>
      </c>
      <c r="D54" s="36" t="s">
        <v>225</v>
      </c>
      <c r="E54" s="36" t="s">
        <v>989</v>
      </c>
      <c r="F54" s="34"/>
      <c r="G54" s="37">
        <v>2500</v>
      </c>
      <c r="H54" s="37"/>
      <c r="I54" s="86">
        <f t="shared" si="2"/>
        <v>80628.759999999864</v>
      </c>
      <c r="J54" s="86"/>
      <c r="K54" s="39"/>
      <c r="L54" s="39"/>
      <c r="M54" s="391">
        <f t="shared" si="1"/>
        <v>3198</v>
      </c>
      <c r="N54" s="181" t="s">
        <v>1355</v>
      </c>
      <c r="O54" s="34" t="s">
        <v>8</v>
      </c>
      <c r="P54" s="34" t="s">
        <v>886</v>
      </c>
    </row>
    <row r="55" spans="1:16" ht="30" x14ac:dyDescent="0.25">
      <c r="A55" s="34"/>
      <c r="B55" s="35">
        <v>45921</v>
      </c>
      <c r="C55" s="36" t="s">
        <v>100</v>
      </c>
      <c r="D55" s="36" t="s">
        <v>16</v>
      </c>
      <c r="E55" s="36" t="s">
        <v>992</v>
      </c>
      <c r="F55" s="34"/>
      <c r="G55" s="37">
        <v>2500</v>
      </c>
      <c r="H55" s="37"/>
      <c r="I55" s="86">
        <f t="shared" si="2"/>
        <v>83128.759999999864</v>
      </c>
      <c r="J55" s="86"/>
      <c r="K55" s="39"/>
      <c r="L55" s="39"/>
      <c r="M55" s="391">
        <f t="shared" si="1"/>
        <v>3198</v>
      </c>
      <c r="N55" s="181" t="s">
        <v>1356</v>
      </c>
      <c r="O55" s="34" t="s">
        <v>8</v>
      </c>
      <c r="P55" s="34" t="s">
        <v>886</v>
      </c>
    </row>
    <row r="56" spans="1:16" ht="30" x14ac:dyDescent="0.25">
      <c r="A56" s="546"/>
      <c r="B56" s="35">
        <v>45921</v>
      </c>
      <c r="C56" s="36" t="s">
        <v>1331</v>
      </c>
      <c r="D56" s="36"/>
      <c r="E56" s="36"/>
      <c r="F56" s="34"/>
      <c r="G56" s="37">
        <v>2500</v>
      </c>
      <c r="H56" s="37"/>
      <c r="I56" s="547">
        <f t="shared" si="2"/>
        <v>85628.759999999864</v>
      </c>
      <c r="J56" s="86"/>
      <c r="K56" s="39"/>
      <c r="L56" s="39"/>
      <c r="M56" s="391">
        <f t="shared" si="1"/>
        <v>3198</v>
      </c>
      <c r="N56" s="181" t="s">
        <v>1357</v>
      </c>
      <c r="O56" s="34" t="s">
        <v>8</v>
      </c>
      <c r="P56" s="34" t="s">
        <v>886</v>
      </c>
    </row>
    <row r="57" spans="1:16" ht="45" x14ac:dyDescent="0.25">
      <c r="A57" s="34"/>
      <c r="B57" s="35">
        <v>45921</v>
      </c>
      <c r="C57" s="36" t="s">
        <v>1381</v>
      </c>
      <c r="D57" s="411" t="s">
        <v>1380</v>
      </c>
      <c r="E57" s="36"/>
      <c r="F57" s="34"/>
      <c r="G57" s="37">
        <v>3000</v>
      </c>
      <c r="H57" s="37"/>
      <c r="I57" s="547">
        <f t="shared" si="2"/>
        <v>88628.759999999864</v>
      </c>
      <c r="J57" s="86"/>
      <c r="K57" s="39"/>
      <c r="L57" s="39"/>
      <c r="M57" s="391">
        <f t="shared" si="1"/>
        <v>3198</v>
      </c>
      <c r="N57" s="181" t="s">
        <v>1358</v>
      </c>
      <c r="O57" s="34" t="s">
        <v>8</v>
      </c>
      <c r="P57" s="34" t="s">
        <v>886</v>
      </c>
    </row>
    <row r="58" spans="1:16" ht="30" x14ac:dyDescent="0.25">
      <c r="A58" s="34"/>
      <c r="B58" s="35">
        <v>45921</v>
      </c>
      <c r="C58" s="36" t="s">
        <v>431</v>
      </c>
      <c r="D58" s="36" t="s">
        <v>947</v>
      </c>
      <c r="E58" s="36" t="s">
        <v>303</v>
      </c>
      <c r="F58" s="34"/>
      <c r="G58" s="37">
        <v>7500</v>
      </c>
      <c r="H58" s="37"/>
      <c r="I58" s="547">
        <f t="shared" si="2"/>
        <v>96128.759999999864</v>
      </c>
      <c r="J58" s="86"/>
      <c r="K58" s="39"/>
      <c r="L58" s="39"/>
      <c r="M58" s="391">
        <f t="shared" si="1"/>
        <v>3198</v>
      </c>
      <c r="N58" s="181" t="s">
        <v>1359</v>
      </c>
      <c r="O58" s="34" t="s">
        <v>8</v>
      </c>
      <c r="P58" s="34" t="s">
        <v>886</v>
      </c>
    </row>
    <row r="59" spans="1:16" ht="45" x14ac:dyDescent="0.25">
      <c r="A59" s="34"/>
      <c r="B59" s="35">
        <v>45923</v>
      </c>
      <c r="C59" s="36" t="s">
        <v>1361</v>
      </c>
      <c r="D59" s="36" t="s">
        <v>1362</v>
      </c>
      <c r="E59" s="36" t="s">
        <v>994</v>
      </c>
      <c r="F59" s="34"/>
      <c r="G59" s="37">
        <v>7500</v>
      </c>
      <c r="H59" s="37"/>
      <c r="I59" s="547">
        <f t="shared" si="2"/>
        <v>103628.75999999986</v>
      </c>
      <c r="J59" s="86"/>
      <c r="K59" s="39"/>
      <c r="L59" s="39"/>
      <c r="M59" s="391">
        <f t="shared" si="1"/>
        <v>3198</v>
      </c>
      <c r="N59" s="181" t="s">
        <v>1360</v>
      </c>
      <c r="O59" s="34" t="s">
        <v>8</v>
      </c>
      <c r="P59" s="34" t="s">
        <v>886</v>
      </c>
    </row>
    <row r="60" spans="1:16" ht="30" x14ac:dyDescent="0.25">
      <c r="A60" s="34"/>
      <c r="B60" s="35">
        <v>45924</v>
      </c>
      <c r="C60" s="545" t="s">
        <v>1364</v>
      </c>
      <c r="D60" s="36" t="s">
        <v>545</v>
      </c>
      <c r="E60" s="36" t="s">
        <v>989</v>
      </c>
      <c r="F60" s="34"/>
      <c r="G60" s="37">
        <v>2500</v>
      </c>
      <c r="H60" s="37"/>
      <c r="I60" s="547">
        <f t="shared" si="2"/>
        <v>106128.75999999986</v>
      </c>
      <c r="J60" s="86"/>
      <c r="K60" s="39"/>
      <c r="L60" s="39"/>
      <c r="M60" s="391">
        <f t="shared" si="1"/>
        <v>3198</v>
      </c>
      <c r="N60" s="181" t="s">
        <v>1363</v>
      </c>
      <c r="O60" s="34" t="s">
        <v>8</v>
      </c>
      <c r="P60" s="34" t="s">
        <v>886</v>
      </c>
    </row>
    <row r="61" spans="1:16" x14ac:dyDescent="0.25">
      <c r="A61" s="546"/>
      <c r="B61" s="35">
        <v>45930</v>
      </c>
      <c r="C61" s="36" t="s">
        <v>1331</v>
      </c>
      <c r="D61" s="36"/>
      <c r="E61" s="36"/>
      <c r="F61" s="34"/>
      <c r="G61" s="37">
        <v>2500</v>
      </c>
      <c r="H61" s="37"/>
      <c r="I61" s="547">
        <f t="shared" si="2"/>
        <v>108628.75999999986</v>
      </c>
      <c r="J61" s="86"/>
      <c r="K61" s="39"/>
      <c r="L61" s="39"/>
      <c r="M61" s="391">
        <f t="shared" si="1"/>
        <v>3198</v>
      </c>
      <c r="N61" s="181" t="s">
        <v>1365</v>
      </c>
      <c r="O61" s="34" t="s">
        <v>8</v>
      </c>
      <c r="P61" s="34" t="s">
        <v>886</v>
      </c>
    </row>
    <row r="62" spans="1:16" ht="45" x14ac:dyDescent="0.25">
      <c r="A62" s="34"/>
      <c r="B62" s="35">
        <v>45932</v>
      </c>
      <c r="C62" s="36" t="s">
        <v>1008</v>
      </c>
      <c r="D62" s="36" t="s">
        <v>1397</v>
      </c>
      <c r="E62" s="36" t="s">
        <v>993</v>
      </c>
      <c r="F62" s="34"/>
      <c r="G62" s="37">
        <v>1500</v>
      </c>
      <c r="H62" s="37"/>
      <c r="I62" s="547">
        <f t="shared" si="2"/>
        <v>110128.75999999986</v>
      </c>
      <c r="J62" s="86"/>
      <c r="K62" s="39"/>
      <c r="L62" s="39"/>
      <c r="M62" s="391">
        <f t="shared" si="1"/>
        <v>3198</v>
      </c>
      <c r="N62" s="181" t="s">
        <v>1366</v>
      </c>
      <c r="O62" s="34" t="s">
        <v>8</v>
      </c>
      <c r="P62" s="34" t="s">
        <v>886</v>
      </c>
    </row>
    <row r="63" spans="1:16" ht="30" x14ac:dyDescent="0.25">
      <c r="A63" s="34"/>
      <c r="B63" s="35">
        <v>45932</v>
      </c>
      <c r="C63" s="36" t="s">
        <v>1053</v>
      </c>
      <c r="D63" s="36" t="s">
        <v>1054</v>
      </c>
      <c r="E63" s="36" t="s">
        <v>29</v>
      </c>
      <c r="F63" s="34"/>
      <c r="G63" s="37">
        <v>2500</v>
      </c>
      <c r="H63" s="37"/>
      <c r="I63" s="547">
        <f t="shared" si="2"/>
        <v>112628.75999999986</v>
      </c>
      <c r="J63" s="86"/>
      <c r="K63" s="39"/>
      <c r="L63" s="39"/>
      <c r="M63" s="391">
        <f t="shared" si="1"/>
        <v>3198</v>
      </c>
      <c r="N63" s="181" t="s">
        <v>1367</v>
      </c>
      <c r="O63" s="34" t="s">
        <v>8</v>
      </c>
      <c r="P63" s="34" t="s">
        <v>886</v>
      </c>
    </row>
    <row r="64" spans="1:16" ht="45" x14ac:dyDescent="0.25">
      <c r="A64" s="34"/>
      <c r="B64" s="35">
        <v>45933</v>
      </c>
      <c r="C64" s="36" t="s">
        <v>538</v>
      </c>
      <c r="D64" s="36" t="s">
        <v>584</v>
      </c>
      <c r="E64" s="36" t="s">
        <v>994</v>
      </c>
      <c r="F64" s="34"/>
      <c r="G64" s="37">
        <v>1250</v>
      </c>
      <c r="H64" s="37"/>
      <c r="I64" s="547">
        <f t="shared" si="2"/>
        <v>113878.75999999986</v>
      </c>
      <c r="J64" s="86"/>
      <c r="K64" s="39"/>
      <c r="L64" s="39"/>
      <c r="M64" s="391">
        <f t="shared" si="1"/>
        <v>3198</v>
      </c>
      <c r="N64" s="181" t="s">
        <v>1368</v>
      </c>
      <c r="O64" s="34" t="s">
        <v>8</v>
      </c>
      <c r="P64" s="34" t="s">
        <v>886</v>
      </c>
    </row>
    <row r="65" spans="1:16" ht="30" x14ac:dyDescent="0.25">
      <c r="A65" s="34"/>
      <c r="B65" s="35">
        <v>45934</v>
      </c>
      <c r="C65" s="36" t="s">
        <v>1370</v>
      </c>
      <c r="D65" s="36" t="s">
        <v>1371</v>
      </c>
      <c r="E65" s="36"/>
      <c r="F65" s="34"/>
      <c r="G65" s="37">
        <v>1250</v>
      </c>
      <c r="H65" s="37"/>
      <c r="I65" s="547">
        <f t="shared" si="2"/>
        <v>115128.75999999986</v>
      </c>
      <c r="J65" s="86"/>
      <c r="K65" s="39"/>
      <c r="L65" s="39"/>
      <c r="M65" s="391">
        <f t="shared" si="1"/>
        <v>3198</v>
      </c>
      <c r="N65" s="181" t="s">
        <v>1369</v>
      </c>
      <c r="O65" s="34" t="s">
        <v>8</v>
      </c>
      <c r="P65" s="34" t="s">
        <v>886</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1372</v>
      </c>
      <c r="O66" s="34" t="s">
        <v>121</v>
      </c>
      <c r="P66" s="34" t="s">
        <v>858</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1373</v>
      </c>
      <c r="O67" s="34" t="s">
        <v>1293</v>
      </c>
      <c r="P67" s="34" t="s">
        <v>858</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1374</v>
      </c>
      <c r="O68" s="34" t="s">
        <v>121</v>
      </c>
      <c r="P68" s="34" t="s">
        <v>858</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1375</v>
      </c>
      <c r="O69" s="34" t="s">
        <v>1293</v>
      </c>
      <c r="P69" s="34" t="s">
        <v>858</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1376</v>
      </c>
      <c r="O70" s="34" t="s">
        <v>121</v>
      </c>
      <c r="P70" s="34" t="s">
        <v>858</v>
      </c>
    </row>
    <row r="71" spans="1:16" ht="60" x14ac:dyDescent="0.25">
      <c r="A71" s="571"/>
      <c r="B71" s="572">
        <v>45954</v>
      </c>
      <c r="C71" s="573" t="s">
        <v>1391</v>
      </c>
      <c r="D71" s="573"/>
      <c r="E71" s="36"/>
      <c r="F71" s="34"/>
      <c r="G71" s="37"/>
      <c r="H71" s="37"/>
      <c r="I71" s="547">
        <f t="shared" si="2"/>
        <v>111701.24999999987</v>
      </c>
      <c r="J71" s="86"/>
      <c r="K71" s="39">
        <v>1055</v>
      </c>
      <c r="L71" s="39"/>
      <c r="M71" s="391">
        <f t="shared" si="1"/>
        <v>3198</v>
      </c>
      <c r="N71" s="181" t="s">
        <v>1392</v>
      </c>
      <c r="O71" s="34" t="s">
        <v>859</v>
      </c>
      <c r="P71" s="34" t="s">
        <v>858</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1393</v>
      </c>
      <c r="O72" s="34" t="s">
        <v>121</v>
      </c>
      <c r="P72" s="34" t="s">
        <v>858</v>
      </c>
    </row>
    <row r="73" spans="1:16" ht="60" x14ac:dyDescent="0.25">
      <c r="A73" s="34"/>
      <c r="B73" s="35">
        <v>45959</v>
      </c>
      <c r="C73" s="36" t="s">
        <v>540</v>
      </c>
      <c r="D73" s="36" t="s">
        <v>1396</v>
      </c>
      <c r="E73" s="36" t="s">
        <v>1305</v>
      </c>
      <c r="F73" s="34"/>
      <c r="G73" s="37">
        <v>1500</v>
      </c>
      <c r="H73" s="37"/>
      <c r="I73" s="547">
        <f t="shared" si="2"/>
        <v>113195.34999999987</v>
      </c>
      <c r="J73" s="86"/>
      <c r="K73" s="39"/>
      <c r="L73" s="39"/>
      <c r="M73" s="391">
        <f t="shared" si="3"/>
        <v>3198</v>
      </c>
      <c r="N73" s="181" t="s">
        <v>1377</v>
      </c>
      <c r="O73" s="34" t="s">
        <v>8</v>
      </c>
      <c r="P73" s="34" t="s">
        <v>886</v>
      </c>
    </row>
    <row r="74" spans="1:16" ht="30" x14ac:dyDescent="0.25">
      <c r="A74" s="34"/>
      <c r="B74" s="35">
        <v>45957</v>
      </c>
      <c r="C74" s="36" t="s">
        <v>81</v>
      </c>
      <c r="D74" s="36" t="s">
        <v>693</v>
      </c>
      <c r="E74" s="36" t="s">
        <v>992</v>
      </c>
      <c r="F74" s="34"/>
      <c r="G74" s="37">
        <v>7500</v>
      </c>
      <c r="H74" s="37"/>
      <c r="I74" s="547">
        <f t="shared" si="2"/>
        <v>120695.34999999987</v>
      </c>
      <c r="J74" s="86"/>
      <c r="K74" s="39"/>
      <c r="L74" s="39"/>
      <c r="M74" s="391">
        <f t="shared" si="3"/>
        <v>3198</v>
      </c>
      <c r="N74" s="181" t="s">
        <v>1383</v>
      </c>
      <c r="O74" s="34" t="s">
        <v>8</v>
      </c>
      <c r="P74" s="34" t="s">
        <v>886</v>
      </c>
    </row>
    <row r="75" spans="1:16" ht="45" x14ac:dyDescent="0.25">
      <c r="A75" s="34"/>
      <c r="B75" s="35">
        <v>45957</v>
      </c>
      <c r="C75" s="36" t="s">
        <v>1379</v>
      </c>
      <c r="D75" s="411" t="s">
        <v>1382</v>
      </c>
      <c r="E75" s="36"/>
      <c r="F75" s="34"/>
      <c r="G75" s="37">
        <v>3000</v>
      </c>
      <c r="H75" s="37"/>
      <c r="I75" s="547">
        <f t="shared" si="2"/>
        <v>123695.34999999987</v>
      </c>
      <c r="J75" s="86"/>
      <c r="K75" s="39"/>
      <c r="L75" s="39"/>
      <c r="M75" s="391">
        <f t="shared" si="3"/>
        <v>3198</v>
      </c>
      <c r="N75" s="181" t="s">
        <v>1378</v>
      </c>
      <c r="O75" s="34" t="s">
        <v>8</v>
      </c>
      <c r="P75" s="34" t="s">
        <v>886</v>
      </c>
    </row>
    <row r="76" spans="1:16" ht="45" x14ac:dyDescent="0.25">
      <c r="A76" s="34"/>
      <c r="B76" s="35">
        <v>45957</v>
      </c>
      <c r="C76" s="36" t="s">
        <v>1384</v>
      </c>
      <c r="D76" s="36" t="s">
        <v>1385</v>
      </c>
      <c r="E76" s="36" t="s">
        <v>29</v>
      </c>
      <c r="F76" s="34"/>
      <c r="G76" s="37">
        <v>1500</v>
      </c>
      <c r="H76" s="37"/>
      <c r="I76" s="547">
        <f t="shared" si="2"/>
        <v>125195.34999999987</v>
      </c>
      <c r="J76" s="86"/>
      <c r="K76" s="39"/>
      <c r="L76" s="39"/>
      <c r="M76" s="391">
        <f t="shared" si="3"/>
        <v>3198</v>
      </c>
      <c r="N76" s="181" t="s">
        <v>1386</v>
      </c>
      <c r="O76" s="34" t="s">
        <v>8</v>
      </c>
      <c r="P76" s="34" t="s">
        <v>886</v>
      </c>
    </row>
    <row r="77" spans="1:16" ht="30" x14ac:dyDescent="0.25">
      <c r="A77" s="34"/>
      <c r="B77" s="35">
        <v>45957</v>
      </c>
      <c r="C77" s="108" t="s">
        <v>1387</v>
      </c>
      <c r="D77" s="36" t="s">
        <v>1065</v>
      </c>
      <c r="E77" s="36" t="s">
        <v>993</v>
      </c>
      <c r="F77" s="34"/>
      <c r="G77" s="37">
        <v>2500</v>
      </c>
      <c r="H77" s="37"/>
      <c r="I77" s="547">
        <f t="shared" si="2"/>
        <v>127695.34999999987</v>
      </c>
      <c r="J77" s="86"/>
      <c r="K77" s="39"/>
      <c r="L77" s="39"/>
      <c r="M77" s="391">
        <f t="shared" si="3"/>
        <v>3198</v>
      </c>
      <c r="N77" s="181" t="s">
        <v>1395</v>
      </c>
      <c r="O77" s="34" t="s">
        <v>8</v>
      </c>
      <c r="P77" s="34" t="s">
        <v>886</v>
      </c>
    </row>
    <row r="78" spans="1:16" ht="30" x14ac:dyDescent="0.25">
      <c r="A78" s="34"/>
      <c r="B78" s="35">
        <v>45962</v>
      </c>
      <c r="C78" s="36" t="s">
        <v>89</v>
      </c>
      <c r="D78" s="36" t="s">
        <v>1065</v>
      </c>
      <c r="E78" s="36" t="s">
        <v>993</v>
      </c>
      <c r="F78" s="34"/>
      <c r="G78" s="37">
        <v>2500</v>
      </c>
      <c r="H78" s="37"/>
      <c r="I78" s="547">
        <f t="shared" si="2"/>
        <v>130195.34999999987</v>
      </c>
      <c r="J78" s="86"/>
      <c r="K78" s="39"/>
      <c r="L78" s="39"/>
      <c r="M78" s="391">
        <f t="shared" si="3"/>
        <v>3198</v>
      </c>
      <c r="N78" s="181" t="s">
        <v>1388</v>
      </c>
      <c r="O78" s="34" t="s">
        <v>8</v>
      </c>
      <c r="P78" s="34" t="s">
        <v>886</v>
      </c>
    </row>
    <row r="79" spans="1:16" ht="30" x14ac:dyDescent="0.25">
      <c r="A79" s="34"/>
      <c r="B79" s="35">
        <v>45962</v>
      </c>
      <c r="C79" s="36" t="s">
        <v>361</v>
      </c>
      <c r="D79" s="36" t="s">
        <v>366</v>
      </c>
      <c r="E79" s="36" t="s">
        <v>993</v>
      </c>
      <c r="F79" s="34"/>
      <c r="G79" s="37">
        <v>2500</v>
      </c>
      <c r="H79" s="37"/>
      <c r="I79" s="547">
        <f t="shared" si="2"/>
        <v>132695.34999999986</v>
      </c>
      <c r="J79" s="86"/>
      <c r="K79" s="39"/>
      <c r="L79" s="39"/>
      <c r="M79" s="391">
        <f t="shared" si="3"/>
        <v>3198</v>
      </c>
      <c r="N79" s="181" t="s">
        <v>1389</v>
      </c>
      <c r="O79" s="34" t="s">
        <v>8</v>
      </c>
      <c r="P79" s="34" t="s">
        <v>886</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1390</v>
      </c>
      <c r="O80" s="34" t="s">
        <v>245</v>
      </c>
      <c r="P80" s="34" t="s">
        <v>886</v>
      </c>
    </row>
    <row r="81" spans="1:16" ht="30" x14ac:dyDescent="0.25">
      <c r="A81" s="400"/>
      <c r="B81" s="381">
        <v>45982</v>
      </c>
      <c r="C81" s="36" t="s">
        <v>1000</v>
      </c>
      <c r="D81" s="36" t="s">
        <v>770</v>
      </c>
      <c r="E81" s="36" t="s">
        <v>993</v>
      </c>
      <c r="F81" s="34"/>
      <c r="G81" s="37">
        <v>2500</v>
      </c>
      <c r="H81" s="37"/>
      <c r="I81" s="547">
        <f t="shared" si="2"/>
        <v>135741.34999999986</v>
      </c>
      <c r="J81" s="86"/>
      <c r="K81" s="39"/>
      <c r="L81" s="39"/>
      <c r="M81" s="391">
        <f t="shared" si="3"/>
        <v>3198</v>
      </c>
      <c r="N81" s="550" t="s">
        <v>1398</v>
      </c>
      <c r="O81" s="34" t="s">
        <v>8</v>
      </c>
      <c r="P81" s="34" t="s">
        <v>886</v>
      </c>
    </row>
    <row r="82" spans="1:16" ht="105" x14ac:dyDescent="0.25">
      <c r="A82" s="400"/>
      <c r="B82" s="381">
        <v>45982</v>
      </c>
      <c r="C82" s="549" t="s">
        <v>285</v>
      </c>
      <c r="D82" s="36" t="s">
        <v>939</v>
      </c>
      <c r="E82" s="36" t="s">
        <v>29</v>
      </c>
      <c r="F82" s="34"/>
      <c r="G82" s="37">
        <v>7500</v>
      </c>
      <c r="H82" s="37"/>
      <c r="I82" s="547">
        <f t="shared" si="2"/>
        <v>143241.34999999986</v>
      </c>
      <c r="J82" s="86"/>
      <c r="K82" s="39"/>
      <c r="L82" s="39"/>
      <c r="M82" s="391">
        <f t="shared" si="3"/>
        <v>3198</v>
      </c>
      <c r="N82" s="181" t="s">
        <v>1399</v>
      </c>
      <c r="O82" s="34" t="s">
        <v>8</v>
      </c>
      <c r="P82" s="34" t="s">
        <v>886</v>
      </c>
    </row>
    <row r="83" spans="1:16" x14ac:dyDescent="0.25">
      <c r="A83" s="34"/>
      <c r="B83" s="35">
        <v>45983</v>
      </c>
      <c r="C83" s="36" t="s">
        <v>696</v>
      </c>
      <c r="D83" s="36" t="s">
        <v>16</v>
      </c>
      <c r="E83" s="36" t="s">
        <v>992</v>
      </c>
      <c r="F83" s="34"/>
      <c r="G83" s="37">
        <v>2500</v>
      </c>
      <c r="H83" s="37"/>
      <c r="I83" s="547">
        <f t="shared" si="2"/>
        <v>145741.34999999986</v>
      </c>
      <c r="J83" s="86"/>
      <c r="K83" s="39"/>
      <c r="L83" s="39"/>
      <c r="M83" s="391">
        <f t="shared" si="3"/>
        <v>3198</v>
      </c>
      <c r="N83" s="181" t="s">
        <v>1400</v>
      </c>
      <c r="O83" s="34" t="s">
        <v>8</v>
      </c>
      <c r="P83" s="34" t="s">
        <v>886</v>
      </c>
    </row>
    <row r="84" spans="1:16" ht="45" x14ac:dyDescent="0.25">
      <c r="A84" s="34"/>
      <c r="B84" s="35">
        <v>45983</v>
      </c>
      <c r="C84" s="36" t="s">
        <v>948</v>
      </c>
      <c r="D84" s="36" t="s">
        <v>962</v>
      </c>
      <c r="E84" s="36" t="s">
        <v>29</v>
      </c>
      <c r="F84" s="34"/>
      <c r="G84" s="37">
        <v>1500</v>
      </c>
      <c r="H84" s="37"/>
      <c r="I84" s="547">
        <f t="shared" si="2"/>
        <v>147241.34999999986</v>
      </c>
      <c r="J84" s="86"/>
      <c r="K84" s="39"/>
      <c r="L84" s="39"/>
      <c r="M84" s="391">
        <f t="shared" si="3"/>
        <v>3198</v>
      </c>
      <c r="N84" s="181" t="s">
        <v>1401</v>
      </c>
      <c r="O84" s="34" t="s">
        <v>8</v>
      </c>
      <c r="P84" s="34" t="s">
        <v>886</v>
      </c>
    </row>
    <row r="85" spans="1:16" ht="45" x14ac:dyDescent="0.25">
      <c r="A85" s="34"/>
      <c r="B85" s="35">
        <v>45983</v>
      </c>
      <c r="C85" s="36" t="s">
        <v>1412</v>
      </c>
      <c r="D85" s="36" t="s">
        <v>1416</v>
      </c>
      <c r="E85" s="36" t="s">
        <v>29</v>
      </c>
      <c r="F85" s="34"/>
      <c r="G85" s="37">
        <v>2500</v>
      </c>
      <c r="H85" s="37"/>
      <c r="I85" s="547">
        <f t="shared" si="2"/>
        <v>149741.34999999986</v>
      </c>
      <c r="J85" s="86"/>
      <c r="K85" s="39"/>
      <c r="L85" s="39"/>
      <c r="M85" s="391">
        <f t="shared" si="3"/>
        <v>3198</v>
      </c>
      <c r="N85" s="181" t="s">
        <v>1402</v>
      </c>
      <c r="O85" s="34" t="s">
        <v>8</v>
      </c>
      <c r="P85" s="34" t="s">
        <v>886</v>
      </c>
    </row>
    <row r="86" spans="1:16" ht="30" x14ac:dyDescent="0.25">
      <c r="A86" s="34"/>
      <c r="B86" s="35">
        <v>45983</v>
      </c>
      <c r="C86" s="36" t="s">
        <v>1413</v>
      </c>
      <c r="D86" s="36" t="s">
        <v>1415</v>
      </c>
      <c r="E86" s="36" t="s">
        <v>29</v>
      </c>
      <c r="F86" s="34"/>
      <c r="G86" s="37">
        <v>1500</v>
      </c>
      <c r="H86" s="37"/>
      <c r="I86" s="547">
        <f t="shared" si="2"/>
        <v>151241.34999999986</v>
      </c>
      <c r="J86" s="86"/>
      <c r="K86" s="39"/>
      <c r="L86" s="39"/>
      <c r="M86" s="391">
        <f t="shared" si="3"/>
        <v>3198</v>
      </c>
      <c r="N86" s="181" t="s">
        <v>1403</v>
      </c>
      <c r="O86" s="34" t="s">
        <v>8</v>
      </c>
      <c r="P86" s="34" t="s">
        <v>886</v>
      </c>
    </row>
    <row r="87" spans="1:16" ht="30" x14ac:dyDescent="0.25">
      <c r="A87" s="34"/>
      <c r="B87" s="35">
        <v>45983</v>
      </c>
      <c r="C87" s="36" t="s">
        <v>1414</v>
      </c>
      <c r="D87" s="36" t="s">
        <v>1415</v>
      </c>
      <c r="E87" s="36" t="s">
        <v>29</v>
      </c>
      <c r="F87" s="34"/>
      <c r="G87" s="37">
        <v>1500</v>
      </c>
      <c r="H87" s="37"/>
      <c r="I87" s="547">
        <f t="shared" si="2"/>
        <v>152741.34999999986</v>
      </c>
      <c r="J87" s="86"/>
      <c r="K87" s="39"/>
      <c r="L87" s="39"/>
      <c r="M87" s="391">
        <f t="shared" si="3"/>
        <v>3198</v>
      </c>
      <c r="N87" s="181" t="s">
        <v>1404</v>
      </c>
      <c r="O87" s="34" t="s">
        <v>8</v>
      </c>
      <c r="P87" s="34" t="s">
        <v>886</v>
      </c>
    </row>
    <row r="88" spans="1:16" ht="30" x14ac:dyDescent="0.25">
      <c r="A88" s="34"/>
      <c r="B88" s="35">
        <v>45983</v>
      </c>
      <c r="C88" s="36" t="s">
        <v>1410</v>
      </c>
      <c r="D88" s="36" t="s">
        <v>1411</v>
      </c>
      <c r="E88" s="36" t="s">
        <v>29</v>
      </c>
      <c r="F88" s="34"/>
      <c r="G88" s="37">
        <v>7500</v>
      </c>
      <c r="H88" s="37"/>
      <c r="I88" s="547">
        <f t="shared" si="2"/>
        <v>160241.34999999986</v>
      </c>
      <c r="J88" s="86"/>
      <c r="K88" s="39"/>
      <c r="L88" s="39"/>
      <c r="M88" s="391">
        <f t="shared" si="3"/>
        <v>3198</v>
      </c>
      <c r="N88" s="181" t="s">
        <v>1405</v>
      </c>
      <c r="O88" s="34"/>
      <c r="P88" s="34"/>
    </row>
    <row r="89" spans="1:16" ht="30" x14ac:dyDescent="0.25">
      <c r="A89" s="34"/>
      <c r="B89" s="35">
        <v>45993</v>
      </c>
      <c r="C89" s="36" t="s">
        <v>424</v>
      </c>
      <c r="D89" s="36" t="s">
        <v>425</v>
      </c>
      <c r="E89" s="36" t="s">
        <v>993</v>
      </c>
      <c r="F89" s="34"/>
      <c r="G89" s="37">
        <v>2500</v>
      </c>
      <c r="H89" s="37"/>
      <c r="I89" s="547">
        <f t="shared" si="2"/>
        <v>162741.34999999986</v>
      </c>
      <c r="J89" s="86"/>
      <c r="K89" s="39"/>
      <c r="L89" s="39"/>
      <c r="M89" s="391">
        <f>M88+J89-L89</f>
        <v>3198</v>
      </c>
      <c r="N89" s="181" t="s">
        <v>1406</v>
      </c>
      <c r="O89" s="34" t="s">
        <v>8</v>
      </c>
      <c r="P89" s="34" t="s">
        <v>886</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1409</v>
      </c>
      <c r="O90" s="34" t="s">
        <v>121</v>
      </c>
      <c r="P90" s="34" t="s">
        <v>858</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1407</v>
      </c>
      <c r="O91" s="34" t="s">
        <v>1293</v>
      </c>
      <c r="P91" s="34" t="s">
        <v>858</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1408</v>
      </c>
      <c r="O92" s="34" t="s">
        <v>121</v>
      </c>
      <c r="P92" s="34" t="s">
        <v>858</v>
      </c>
    </row>
    <row r="93" spans="1:16" ht="45" x14ac:dyDescent="0.25">
      <c r="A93" s="409"/>
      <c r="B93" s="300">
        <v>45994</v>
      </c>
      <c r="C93" s="175" t="s">
        <v>397</v>
      </c>
      <c r="D93" s="175" t="s">
        <v>397</v>
      </c>
      <c r="E93" s="551"/>
      <c r="F93" s="34"/>
      <c r="G93" s="37"/>
      <c r="H93" s="37"/>
      <c r="I93" s="547">
        <f t="shared" si="2"/>
        <v>136593.73999999987</v>
      </c>
      <c r="J93" s="86"/>
      <c r="K93" s="39">
        <v>10000</v>
      </c>
      <c r="L93" s="39"/>
      <c r="M93" s="391">
        <f t="shared" si="4"/>
        <v>3198</v>
      </c>
      <c r="N93" s="181" t="s">
        <v>1418</v>
      </c>
      <c r="O93" s="34" t="s">
        <v>854</v>
      </c>
      <c r="P93" s="34" t="s">
        <v>858</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1417</v>
      </c>
      <c r="O94" s="34" t="s">
        <v>121</v>
      </c>
      <c r="P94" s="34" t="s">
        <v>858</v>
      </c>
    </row>
    <row r="95" spans="1:16" ht="45" x14ac:dyDescent="0.25">
      <c r="A95" s="34"/>
      <c r="B95" s="35">
        <v>45994</v>
      </c>
      <c r="C95" s="36" t="s">
        <v>1024</v>
      </c>
      <c r="D95" s="36" t="s">
        <v>692</v>
      </c>
      <c r="E95" s="36" t="s">
        <v>29</v>
      </c>
      <c r="F95" s="34"/>
      <c r="G95" s="37">
        <v>15000</v>
      </c>
      <c r="H95" s="37"/>
      <c r="I95" s="547">
        <f t="shared" si="2"/>
        <v>151587.83999999988</v>
      </c>
      <c r="J95" s="86"/>
      <c r="K95" s="39"/>
      <c r="L95" s="39"/>
      <c r="M95" s="391">
        <f t="shared" si="4"/>
        <v>3198</v>
      </c>
      <c r="N95" s="181" t="s">
        <v>1421</v>
      </c>
      <c r="O95" s="34" t="s">
        <v>8</v>
      </c>
      <c r="P95" s="34" t="s">
        <v>886</v>
      </c>
    </row>
    <row r="96" spans="1:16" ht="30" x14ac:dyDescent="0.25">
      <c r="A96" s="409"/>
      <c r="B96" s="300">
        <v>46007</v>
      </c>
      <c r="C96" s="175" t="s">
        <v>957</v>
      </c>
      <c r="D96" s="175" t="s">
        <v>1122</v>
      </c>
      <c r="E96" s="36" t="s">
        <v>989</v>
      </c>
      <c r="F96" s="34"/>
      <c r="G96" s="40">
        <v>5000</v>
      </c>
      <c r="H96" s="37"/>
      <c r="I96" s="547">
        <f t="shared" si="2"/>
        <v>156587.83999999988</v>
      </c>
      <c r="J96" s="86"/>
      <c r="K96" s="39"/>
      <c r="L96" s="39"/>
      <c r="M96" s="391">
        <f t="shared" si="4"/>
        <v>3198</v>
      </c>
      <c r="N96" s="181" t="s">
        <v>1422</v>
      </c>
      <c r="O96" s="34" t="s">
        <v>854</v>
      </c>
      <c r="P96" s="34" t="s">
        <v>886</v>
      </c>
    </row>
    <row r="97" spans="1:16" ht="30" x14ac:dyDescent="0.25">
      <c r="A97" s="409"/>
      <c r="B97" s="300">
        <v>46008</v>
      </c>
      <c r="C97" s="175" t="s">
        <v>1304</v>
      </c>
      <c r="D97" s="175" t="s">
        <v>1303</v>
      </c>
      <c r="E97" s="36" t="s">
        <v>1305</v>
      </c>
      <c r="F97" s="34"/>
      <c r="G97" s="40">
        <v>4000</v>
      </c>
      <c r="H97" s="37"/>
      <c r="I97" s="547">
        <f t="shared" ref="I97:I129" si="5">I96+G97-K97</f>
        <v>160587.83999999988</v>
      </c>
      <c r="J97" s="86"/>
      <c r="K97" s="39"/>
      <c r="L97" s="39"/>
      <c r="M97" s="391">
        <f t="shared" si="4"/>
        <v>3198</v>
      </c>
      <c r="N97" s="181" t="s">
        <v>1423</v>
      </c>
      <c r="O97" s="34" t="s">
        <v>854</v>
      </c>
      <c r="P97" s="34" t="s">
        <v>886</v>
      </c>
    </row>
    <row r="98" spans="1:16" ht="30" x14ac:dyDescent="0.25">
      <c r="A98" s="409"/>
      <c r="B98" s="300">
        <v>46009</v>
      </c>
      <c r="C98" s="175" t="s">
        <v>722</v>
      </c>
      <c r="D98" s="175" t="s">
        <v>744</v>
      </c>
      <c r="E98" s="36" t="s">
        <v>990</v>
      </c>
      <c r="F98" s="34"/>
      <c r="G98" s="40">
        <v>5000</v>
      </c>
      <c r="H98" s="37"/>
      <c r="I98" s="547">
        <f t="shared" si="5"/>
        <v>165587.83999999988</v>
      </c>
      <c r="J98" s="86"/>
      <c r="K98" s="39"/>
      <c r="L98" s="39"/>
      <c r="M98" s="391">
        <f t="shared" si="4"/>
        <v>3198</v>
      </c>
      <c r="N98" s="181" t="s">
        <v>1424</v>
      </c>
      <c r="O98" s="34" t="s">
        <v>854</v>
      </c>
      <c r="P98" s="34" t="s">
        <v>886</v>
      </c>
    </row>
    <row r="99" spans="1:16" x14ac:dyDescent="0.25">
      <c r="A99" s="409"/>
      <c r="B99" s="300">
        <v>46009</v>
      </c>
      <c r="C99" s="175" t="s">
        <v>935</v>
      </c>
      <c r="D99" s="175" t="s">
        <v>29</v>
      </c>
      <c r="E99" s="36" t="s">
        <v>29</v>
      </c>
      <c r="F99" s="34"/>
      <c r="G99" s="40">
        <v>10000</v>
      </c>
      <c r="H99" s="37"/>
      <c r="I99" s="547">
        <f t="shared" si="5"/>
        <v>175587.83999999988</v>
      </c>
      <c r="J99" s="86"/>
      <c r="K99" s="39"/>
      <c r="L99" s="39"/>
      <c r="M99" s="391">
        <f t="shared" si="4"/>
        <v>3198</v>
      </c>
      <c r="N99" s="181" t="s">
        <v>1425</v>
      </c>
      <c r="O99" s="34" t="s">
        <v>1426</v>
      </c>
      <c r="P99" s="34" t="s">
        <v>886</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1427</v>
      </c>
      <c r="O100" s="34" t="s">
        <v>1293</v>
      </c>
      <c r="P100" s="34" t="s">
        <v>858</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858</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1428</v>
      </c>
      <c r="O102" s="34" t="s">
        <v>1293</v>
      </c>
      <c r="P102" s="34" t="s">
        <v>858</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60">
        <f t="shared" si="4"/>
        <v>3198</v>
      </c>
      <c r="N103" s="181" t="s">
        <v>1343</v>
      </c>
      <c r="O103" s="34" t="s">
        <v>121</v>
      </c>
      <c r="P103" s="34" t="s">
        <v>858</v>
      </c>
    </row>
    <row r="104" spans="1:16" ht="30.75" thickBot="1" x14ac:dyDescent="0.3">
      <c r="A104" s="175"/>
      <c r="B104" s="175">
        <v>46011</v>
      </c>
      <c r="C104" s="175" t="s">
        <v>1036</v>
      </c>
      <c r="D104" s="175" t="s">
        <v>37</v>
      </c>
      <c r="E104" s="36"/>
      <c r="F104" s="34"/>
      <c r="G104" s="37"/>
      <c r="H104" s="37"/>
      <c r="I104" s="561"/>
      <c r="J104" s="574">
        <f>15000+2675</f>
        <v>17675</v>
      </c>
      <c r="K104" s="562"/>
      <c r="L104" s="66"/>
      <c r="M104" s="391">
        <f t="shared" si="4"/>
        <v>20873</v>
      </c>
      <c r="N104" s="181" t="s">
        <v>1431</v>
      </c>
      <c r="O104" s="34" t="s">
        <v>854</v>
      </c>
      <c r="P104" s="34" t="s">
        <v>1439</v>
      </c>
    </row>
    <row r="105" spans="1:16" ht="30" x14ac:dyDescent="0.25">
      <c r="A105" s="553"/>
      <c r="B105" s="554">
        <v>46011</v>
      </c>
      <c r="C105" s="555" t="s">
        <v>1036</v>
      </c>
      <c r="D105" s="555" t="s">
        <v>37</v>
      </c>
      <c r="E105" s="36"/>
      <c r="F105" s="34"/>
      <c r="G105" s="37"/>
      <c r="H105" s="37"/>
      <c r="I105" s="547"/>
      <c r="J105" s="563"/>
      <c r="K105" s="391"/>
      <c r="L105" s="575">
        <v>2675</v>
      </c>
      <c r="M105" s="564">
        <f t="shared" si="4"/>
        <v>18198</v>
      </c>
      <c r="N105" s="578" t="s">
        <v>1432</v>
      </c>
      <c r="O105" s="34" t="s">
        <v>854</v>
      </c>
      <c r="P105" s="34" t="s">
        <v>858</v>
      </c>
    </row>
    <row r="106" spans="1:16" x14ac:dyDescent="0.25">
      <c r="A106" s="409"/>
      <c r="B106" s="554">
        <v>46011</v>
      </c>
      <c r="C106" s="175" t="s">
        <v>1443</v>
      </c>
      <c r="D106" s="175"/>
      <c r="E106" s="36"/>
      <c r="F106" s="34"/>
      <c r="G106" s="37"/>
      <c r="H106" s="37"/>
      <c r="I106" s="547"/>
      <c r="J106" s="86"/>
      <c r="K106" s="391"/>
      <c r="L106" s="576">
        <v>1000</v>
      </c>
      <c r="M106" s="564">
        <f t="shared" si="4"/>
        <v>17198</v>
      </c>
      <c r="N106" s="578" t="s">
        <v>1433</v>
      </c>
      <c r="O106" s="34" t="s">
        <v>854</v>
      </c>
      <c r="P106" s="34" t="s">
        <v>858</v>
      </c>
    </row>
    <row r="107" spans="1:16" x14ac:dyDescent="0.25">
      <c r="A107" s="409"/>
      <c r="B107" s="554">
        <v>46011</v>
      </c>
      <c r="C107" s="175" t="s">
        <v>1443</v>
      </c>
      <c r="D107" s="175"/>
      <c r="E107" s="36"/>
      <c r="F107" s="34"/>
      <c r="G107" s="37"/>
      <c r="H107" s="37"/>
      <c r="I107" s="547"/>
      <c r="J107" s="86"/>
      <c r="K107" s="391"/>
      <c r="L107" s="576">
        <v>700</v>
      </c>
      <c r="M107" s="564">
        <f t="shared" si="4"/>
        <v>16498</v>
      </c>
      <c r="N107" s="578" t="s">
        <v>411</v>
      </c>
      <c r="O107" s="34" t="s">
        <v>854</v>
      </c>
      <c r="P107" s="34" t="s">
        <v>858</v>
      </c>
    </row>
    <row r="108" spans="1:16" x14ac:dyDescent="0.25">
      <c r="A108" s="409"/>
      <c r="B108" s="554">
        <v>46011</v>
      </c>
      <c r="C108" s="175" t="s">
        <v>1443</v>
      </c>
      <c r="D108" s="175"/>
      <c r="E108" s="36"/>
      <c r="F108" s="34"/>
      <c r="G108" s="37"/>
      <c r="H108" s="37"/>
      <c r="I108" s="547"/>
      <c r="J108" s="86"/>
      <c r="K108" s="391"/>
      <c r="L108" s="576">
        <v>4017</v>
      </c>
      <c r="M108" s="564">
        <f t="shared" si="4"/>
        <v>12481</v>
      </c>
      <c r="N108" s="578" t="s">
        <v>1434</v>
      </c>
      <c r="O108" s="34" t="s">
        <v>1426</v>
      </c>
      <c r="P108" s="34" t="s">
        <v>858</v>
      </c>
    </row>
    <row r="109" spans="1:16" x14ac:dyDescent="0.25">
      <c r="A109" s="409"/>
      <c r="B109" s="554">
        <v>46011</v>
      </c>
      <c r="C109" s="175" t="s">
        <v>1443</v>
      </c>
      <c r="D109" s="175"/>
      <c r="E109" s="36"/>
      <c r="F109" s="34"/>
      <c r="G109" s="37"/>
      <c r="H109" s="37"/>
      <c r="I109" s="547"/>
      <c r="J109" s="86"/>
      <c r="K109" s="391"/>
      <c r="L109" s="576">
        <v>4500</v>
      </c>
      <c r="M109" s="564">
        <f t="shared" si="4"/>
        <v>7981</v>
      </c>
      <c r="N109" s="578" t="s">
        <v>1435</v>
      </c>
      <c r="O109" s="34" t="s">
        <v>854</v>
      </c>
      <c r="P109" s="34" t="s">
        <v>858</v>
      </c>
    </row>
    <row r="110" spans="1:16" x14ac:dyDescent="0.25">
      <c r="A110" s="409"/>
      <c r="B110" s="554">
        <v>46011</v>
      </c>
      <c r="C110" s="175" t="s">
        <v>1443</v>
      </c>
      <c r="D110" s="175"/>
      <c r="E110" s="36"/>
      <c r="F110" s="34"/>
      <c r="G110" s="37"/>
      <c r="H110" s="37"/>
      <c r="I110" s="547"/>
      <c r="J110" s="86"/>
      <c r="K110" s="391"/>
      <c r="L110" s="576">
        <v>2120</v>
      </c>
      <c r="M110" s="564">
        <f t="shared" si="4"/>
        <v>5861</v>
      </c>
      <c r="N110" s="578" t="s">
        <v>1436</v>
      </c>
      <c r="O110" s="34" t="s">
        <v>854</v>
      </c>
      <c r="P110" s="34" t="s">
        <v>858</v>
      </c>
    </row>
    <row r="111" spans="1:16" ht="30" x14ac:dyDescent="0.25">
      <c r="A111" s="568"/>
      <c r="B111" s="569"/>
      <c r="C111" s="570" t="s">
        <v>1437</v>
      </c>
      <c r="D111" s="570"/>
      <c r="E111" s="556"/>
      <c r="F111" s="252"/>
      <c r="G111" s="538"/>
      <c r="H111" s="538"/>
      <c r="I111" s="557"/>
      <c r="J111" s="557"/>
      <c r="K111" s="558"/>
      <c r="L111" s="567">
        <f>SUM(L105:L110)</f>
        <v>15012</v>
      </c>
      <c r="M111" s="564"/>
      <c r="N111" s="559" t="s">
        <v>1438</v>
      </c>
      <c r="O111" s="252"/>
      <c r="P111" s="252"/>
    </row>
    <row r="112" spans="1:16" x14ac:dyDescent="0.25">
      <c r="A112" s="409"/>
      <c r="B112" s="300">
        <v>46011</v>
      </c>
      <c r="C112" s="175" t="s">
        <v>1440</v>
      </c>
      <c r="D112" s="175"/>
      <c r="E112" s="36"/>
      <c r="F112" s="34"/>
      <c r="G112" s="37"/>
      <c r="H112" s="37"/>
      <c r="I112" s="547"/>
      <c r="J112" s="86"/>
      <c r="K112" s="391"/>
      <c r="L112" s="567">
        <v>2663</v>
      </c>
      <c r="M112" s="565">
        <f>5861-L112</f>
        <v>3198</v>
      </c>
      <c r="N112" s="578" t="s">
        <v>1441</v>
      </c>
      <c r="O112" s="34"/>
      <c r="P112" s="34"/>
    </row>
    <row r="113" spans="1:16" ht="60.75" thickBot="1" x14ac:dyDescent="0.3">
      <c r="A113" s="409"/>
      <c r="B113" s="300"/>
      <c r="C113" s="175"/>
      <c r="D113" s="175"/>
      <c r="E113" s="36"/>
      <c r="F113" s="34"/>
      <c r="G113" s="37"/>
      <c r="H113" s="37"/>
      <c r="I113" s="547"/>
      <c r="J113" s="86"/>
      <c r="K113" s="391"/>
      <c r="L113" s="577">
        <f>L111+L112</f>
        <v>17675</v>
      </c>
      <c r="M113" s="565"/>
      <c r="N113" s="579" t="s">
        <v>1442</v>
      </c>
      <c r="O113" s="34"/>
      <c r="P113" s="34"/>
    </row>
    <row r="114" spans="1:16" ht="30" x14ac:dyDescent="0.25">
      <c r="A114" s="409"/>
      <c r="B114" s="300">
        <v>46012</v>
      </c>
      <c r="C114" s="175" t="s">
        <v>698</v>
      </c>
      <c r="D114" s="175"/>
      <c r="E114" s="36"/>
      <c r="F114" s="34"/>
      <c r="G114" s="37"/>
      <c r="H114" s="37"/>
      <c r="I114" s="547">
        <f>I103+G114-K114</f>
        <v>112553.03999999989</v>
      </c>
      <c r="J114" s="86"/>
      <c r="K114" s="39">
        <v>50633</v>
      </c>
      <c r="L114" s="566"/>
      <c r="M114" s="391">
        <v>3198</v>
      </c>
      <c r="N114" s="181" t="s">
        <v>1429</v>
      </c>
      <c r="O114" s="34" t="s">
        <v>854</v>
      </c>
      <c r="P114" s="34" t="s">
        <v>858</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1430</v>
      </c>
      <c r="O115" s="34" t="s">
        <v>121</v>
      </c>
      <c r="P115" s="34" t="s">
        <v>858</v>
      </c>
    </row>
    <row r="116" spans="1:16" ht="60" x14ac:dyDescent="0.25">
      <c r="A116" s="409"/>
      <c r="B116" s="300">
        <v>46013</v>
      </c>
      <c r="C116" s="175" t="s">
        <v>1445</v>
      </c>
      <c r="D116" s="175"/>
      <c r="E116" s="36"/>
      <c r="F116" s="34"/>
      <c r="G116" s="37"/>
      <c r="H116" s="37"/>
      <c r="I116" s="547">
        <f t="shared" si="5"/>
        <v>106544.18999999989</v>
      </c>
      <c r="J116" s="86"/>
      <c r="K116" s="39">
        <v>6000</v>
      </c>
      <c r="L116" s="39"/>
      <c r="M116" s="581">
        <f>M114+J116-L116</f>
        <v>3198</v>
      </c>
      <c r="N116" s="181" t="s">
        <v>1444</v>
      </c>
      <c r="O116" s="34" t="s">
        <v>854</v>
      </c>
      <c r="P116" s="34" t="s">
        <v>858</v>
      </c>
    </row>
    <row r="117" spans="1:16" x14ac:dyDescent="0.25">
      <c r="A117" s="382"/>
      <c r="B117" s="387">
        <v>46013</v>
      </c>
      <c r="C117" s="384" t="s">
        <v>121</v>
      </c>
      <c r="D117" s="384"/>
      <c r="E117" s="36"/>
      <c r="F117" s="34"/>
      <c r="G117" s="37"/>
      <c r="H117" s="37"/>
      <c r="I117" s="547">
        <f t="shared" si="5"/>
        <v>106538.28999999989</v>
      </c>
      <c r="J117" s="86"/>
      <c r="K117" s="39">
        <v>5.9</v>
      </c>
      <c r="L117" s="39"/>
      <c r="M117" s="581">
        <f>M116+J117-L117</f>
        <v>3198</v>
      </c>
      <c r="N117" s="181" t="s">
        <v>1343</v>
      </c>
      <c r="O117" s="34"/>
      <c r="P117" s="34"/>
    </row>
    <row r="118" spans="1:16" ht="30" x14ac:dyDescent="0.25">
      <c r="A118" s="34"/>
      <c r="B118" s="35">
        <v>46014</v>
      </c>
      <c r="C118" s="36" t="s">
        <v>1215</v>
      </c>
      <c r="D118" s="36" t="s">
        <v>1216</v>
      </c>
      <c r="E118" s="36" t="s">
        <v>1455</v>
      </c>
      <c r="F118" s="34"/>
      <c r="G118" s="37">
        <v>2500</v>
      </c>
      <c r="H118" s="37"/>
      <c r="I118" s="547">
        <f t="shared" si="5"/>
        <v>109038.28999999989</v>
      </c>
      <c r="J118" s="86"/>
      <c r="K118" s="39"/>
      <c r="L118" s="39"/>
      <c r="M118" s="581">
        <f>M117+J118-L118</f>
        <v>3198</v>
      </c>
      <c r="N118" s="181" t="s">
        <v>1446</v>
      </c>
      <c r="O118" s="34" t="s">
        <v>8</v>
      </c>
      <c r="P118" s="34" t="s">
        <v>886</v>
      </c>
    </row>
    <row r="119" spans="1:16" ht="45" x14ac:dyDescent="0.25">
      <c r="A119" s="571"/>
      <c r="B119" s="572">
        <v>46015</v>
      </c>
      <c r="C119" s="573" t="s">
        <v>935</v>
      </c>
      <c r="D119" s="573"/>
      <c r="E119" s="36"/>
      <c r="F119" s="34"/>
      <c r="G119" s="37"/>
      <c r="H119" s="37"/>
      <c r="I119" s="547">
        <f t="shared" si="5"/>
        <v>106038.28999999989</v>
      </c>
      <c r="J119" s="86"/>
      <c r="K119" s="39">
        <v>3000</v>
      </c>
      <c r="L119" s="39"/>
      <c r="M119" s="581">
        <f>M118+J119-L119</f>
        <v>3198</v>
      </c>
      <c r="N119" s="181" t="s">
        <v>1447</v>
      </c>
      <c r="O119" s="34" t="s">
        <v>859</v>
      </c>
      <c r="P119" s="34" t="s">
        <v>858</v>
      </c>
    </row>
    <row r="120" spans="1:16" x14ac:dyDescent="0.25">
      <c r="A120" s="382"/>
      <c r="B120" s="387">
        <v>46015</v>
      </c>
      <c r="C120" s="384" t="s">
        <v>121</v>
      </c>
      <c r="D120" s="384"/>
      <c r="E120" s="36"/>
      <c r="F120" s="34"/>
      <c r="G120" s="37"/>
      <c r="H120" s="37"/>
      <c r="I120" s="547">
        <f t="shared" si="5"/>
        <v>106032.3899999999</v>
      </c>
      <c r="J120" s="86"/>
      <c r="K120" s="39">
        <v>5.9</v>
      </c>
      <c r="L120" s="39"/>
      <c r="M120" s="581">
        <f>M119+J120-L120</f>
        <v>3198</v>
      </c>
      <c r="N120" s="181" t="s">
        <v>1448</v>
      </c>
      <c r="O120" s="34" t="s">
        <v>121</v>
      </c>
      <c r="P120" s="34" t="s">
        <v>858</v>
      </c>
    </row>
    <row r="121" spans="1:16" ht="30" x14ac:dyDescent="0.25">
      <c r="A121" s="34"/>
      <c r="B121" s="35">
        <v>46016</v>
      </c>
      <c r="C121" s="36" t="s">
        <v>431</v>
      </c>
      <c r="D121" s="36" t="s">
        <v>947</v>
      </c>
      <c r="E121" s="36" t="s">
        <v>23</v>
      </c>
      <c r="F121" s="34"/>
      <c r="G121" s="37">
        <v>2500</v>
      </c>
      <c r="H121" s="37"/>
      <c r="I121" s="547">
        <f t="shared" si="5"/>
        <v>108532.3899999999</v>
      </c>
      <c r="J121" s="86"/>
      <c r="K121" s="39"/>
      <c r="L121" s="39"/>
      <c r="M121" s="581">
        <f t="shared" ref="M121:M129" si="6">M120+J121-L121</f>
        <v>3198</v>
      </c>
      <c r="N121" s="181" t="s">
        <v>1449</v>
      </c>
      <c r="O121" s="34" t="s">
        <v>8</v>
      </c>
      <c r="P121" s="34" t="s">
        <v>886</v>
      </c>
    </row>
    <row r="122" spans="1:16" ht="30" x14ac:dyDescent="0.25">
      <c r="A122" s="34"/>
      <c r="B122" s="35">
        <v>46017</v>
      </c>
      <c r="C122" s="36" t="s">
        <v>1111</v>
      </c>
      <c r="D122" s="36" t="s">
        <v>1112</v>
      </c>
      <c r="E122" s="36"/>
      <c r="F122" s="34"/>
      <c r="G122" s="37">
        <v>15000</v>
      </c>
      <c r="H122" s="37"/>
      <c r="I122" s="547">
        <f t="shared" si="5"/>
        <v>123532.3899999999</v>
      </c>
      <c r="J122" s="86"/>
      <c r="K122" s="39"/>
      <c r="L122" s="39"/>
      <c r="M122" s="581">
        <f t="shared" si="6"/>
        <v>3198</v>
      </c>
      <c r="N122" s="181" t="s">
        <v>1450</v>
      </c>
      <c r="O122" s="34" t="s">
        <v>8</v>
      </c>
      <c r="P122" s="34" t="s">
        <v>886</v>
      </c>
    </row>
    <row r="123" spans="1:16" ht="30" x14ac:dyDescent="0.25">
      <c r="A123" s="546"/>
      <c r="B123" s="300">
        <v>46017</v>
      </c>
      <c r="C123" s="580"/>
      <c r="D123" s="580"/>
      <c r="E123" s="36"/>
      <c r="F123" s="34"/>
      <c r="G123" s="40">
        <v>2500</v>
      </c>
      <c r="H123" s="37"/>
      <c r="I123" s="547">
        <f t="shared" si="5"/>
        <v>126032.3899999999</v>
      </c>
      <c r="J123" s="86"/>
      <c r="K123" s="39"/>
      <c r="L123" s="39"/>
      <c r="M123" s="581">
        <f t="shared" si="6"/>
        <v>3198</v>
      </c>
      <c r="N123" s="181" t="s">
        <v>1457</v>
      </c>
      <c r="O123" s="34" t="s">
        <v>854</v>
      </c>
      <c r="P123" s="34" t="s">
        <v>886</v>
      </c>
    </row>
    <row r="124" spans="1:16" ht="45" x14ac:dyDescent="0.25">
      <c r="A124" s="34"/>
      <c r="B124" s="35">
        <v>46021</v>
      </c>
      <c r="C124" s="36" t="s">
        <v>1452</v>
      </c>
      <c r="D124" s="36" t="s">
        <v>225</v>
      </c>
      <c r="E124" s="36" t="s">
        <v>989</v>
      </c>
      <c r="F124" s="34"/>
      <c r="G124" s="37">
        <v>2500</v>
      </c>
      <c r="H124" s="37"/>
      <c r="I124" s="547">
        <f t="shared" si="5"/>
        <v>128532.3899999999</v>
      </c>
      <c r="J124" s="86"/>
      <c r="K124" s="39"/>
      <c r="L124" s="39"/>
      <c r="M124" s="581">
        <f t="shared" si="6"/>
        <v>3198</v>
      </c>
      <c r="N124" s="181" t="s">
        <v>1453</v>
      </c>
      <c r="O124" s="34" t="s">
        <v>8</v>
      </c>
      <c r="P124" s="34" t="s">
        <v>886</v>
      </c>
    </row>
    <row r="125" spans="1:16" ht="45" x14ac:dyDescent="0.25">
      <c r="A125" s="34"/>
      <c r="B125" s="35">
        <v>46021</v>
      </c>
      <c r="C125" s="36" t="s">
        <v>1058</v>
      </c>
      <c r="D125" s="36" t="s">
        <v>37</v>
      </c>
      <c r="E125" s="36" t="s">
        <v>993</v>
      </c>
      <c r="F125" s="34"/>
      <c r="G125" s="37">
        <v>1500</v>
      </c>
      <c r="H125" s="37"/>
      <c r="I125" s="547">
        <f t="shared" si="5"/>
        <v>130032.3899999999</v>
      </c>
      <c r="J125" s="86"/>
      <c r="K125" s="39"/>
      <c r="L125" s="39"/>
      <c r="M125" s="581">
        <f t="shared" si="6"/>
        <v>3198</v>
      </c>
      <c r="N125" s="181" t="s">
        <v>1454</v>
      </c>
      <c r="O125" s="34" t="s">
        <v>8</v>
      </c>
      <c r="P125" s="34" t="s">
        <v>886</v>
      </c>
    </row>
    <row r="126" spans="1:16" ht="75" x14ac:dyDescent="0.25">
      <c r="A126" s="573"/>
      <c r="B126" s="573">
        <v>46022</v>
      </c>
      <c r="C126" s="573" t="s">
        <v>935</v>
      </c>
      <c r="D126" s="573"/>
      <c r="E126" s="36"/>
      <c r="F126" s="34"/>
      <c r="G126" s="37"/>
      <c r="H126" s="37"/>
      <c r="I126" s="547">
        <f t="shared" si="5"/>
        <v>127032.3899999999</v>
      </c>
      <c r="J126" s="86"/>
      <c r="K126" s="39">
        <v>3000</v>
      </c>
      <c r="L126" s="39"/>
      <c r="M126" s="581">
        <f t="shared" si="6"/>
        <v>3198</v>
      </c>
      <c r="N126" s="181" t="s">
        <v>1456</v>
      </c>
      <c r="O126" s="34" t="s">
        <v>859</v>
      </c>
      <c r="P126" s="34" t="s">
        <v>858</v>
      </c>
    </row>
    <row r="127" spans="1:16" x14ac:dyDescent="0.25">
      <c r="A127" s="382"/>
      <c r="B127" s="387">
        <v>46022</v>
      </c>
      <c r="C127" s="384" t="s">
        <v>121</v>
      </c>
      <c r="D127" s="384"/>
      <c r="E127" s="36"/>
      <c r="F127" s="34"/>
      <c r="G127" s="37"/>
      <c r="H127" s="37"/>
      <c r="I127" s="547">
        <f t="shared" si="5"/>
        <v>127026.4899999999</v>
      </c>
      <c r="J127" s="86"/>
      <c r="K127" s="39">
        <v>5.9</v>
      </c>
      <c r="L127" s="39"/>
      <c r="M127" s="581">
        <f t="shared" si="6"/>
        <v>3198</v>
      </c>
      <c r="N127" s="181" t="s">
        <v>1451</v>
      </c>
      <c r="O127" s="34" t="s">
        <v>121</v>
      </c>
      <c r="P127" s="34" t="s">
        <v>858</v>
      </c>
    </row>
    <row r="128" spans="1:16" ht="75" x14ac:dyDescent="0.25">
      <c r="A128" s="409"/>
      <c r="B128" s="300">
        <v>46022</v>
      </c>
      <c r="C128" s="175" t="s">
        <v>61</v>
      </c>
      <c r="D128" s="175"/>
      <c r="E128" s="36"/>
      <c r="F128" s="34"/>
      <c r="G128" s="37"/>
      <c r="H128" s="37"/>
      <c r="I128" s="547">
        <f t="shared" si="5"/>
        <v>112014.4899999999</v>
      </c>
      <c r="J128" s="86"/>
      <c r="K128" s="39">
        <v>15012</v>
      </c>
      <c r="L128" s="39"/>
      <c r="M128" s="581">
        <f t="shared" si="6"/>
        <v>3198</v>
      </c>
      <c r="N128" s="578" t="s">
        <v>1458</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81">
        <f t="shared" si="6"/>
        <v>3198</v>
      </c>
      <c r="N129" s="36" t="s">
        <v>1459</v>
      </c>
      <c r="O129" s="34" t="s">
        <v>121</v>
      </c>
      <c r="P129" s="34" t="s">
        <v>858</v>
      </c>
    </row>
    <row r="130" spans="1:16" customFormat="1" ht="27" thickBot="1" x14ac:dyDescent="0.45">
      <c r="A130" s="403" t="s">
        <v>1299</v>
      </c>
      <c r="B130" s="404"/>
      <c r="C130" s="404"/>
      <c r="D130" s="404"/>
      <c r="E130" s="404"/>
      <c r="F130" s="404"/>
      <c r="G130" s="404"/>
      <c r="H130" s="404"/>
      <c r="I130" s="404"/>
      <c r="J130" s="467"/>
      <c r="K130" s="404"/>
      <c r="L130" s="404"/>
      <c r="M130" s="404"/>
      <c r="N130" s="404"/>
      <c r="O130" s="404"/>
      <c r="P130" s="405"/>
    </row>
    <row r="131" spans="1:16" customFormat="1" x14ac:dyDescent="0.25">
      <c r="J131" s="165"/>
    </row>
    <row r="132" spans="1:16" customFormat="1" ht="15.75" thickBot="1" x14ac:dyDescent="0.3">
      <c r="A132" s="344"/>
      <c r="B132" s="344"/>
      <c r="C132" s="344"/>
      <c r="D132" s="344"/>
      <c r="E132" s="344"/>
      <c r="J132" s="165"/>
    </row>
    <row r="133" spans="1:16" customFormat="1" ht="30" x14ac:dyDescent="0.25">
      <c r="C133" s="345" t="s">
        <v>849</v>
      </c>
      <c r="D133" s="346"/>
      <c r="E133" s="346"/>
      <c r="F133" s="346"/>
      <c r="G133" s="347" t="s">
        <v>113</v>
      </c>
      <c r="H133" s="347"/>
      <c r="I133" s="544" t="s">
        <v>1327</v>
      </c>
      <c r="J133" s="468" t="s">
        <v>1229</v>
      </c>
      <c r="K133" s="526"/>
      <c r="L133" s="552" t="s">
        <v>1419</v>
      </c>
      <c r="M133" t="s">
        <v>1420</v>
      </c>
    </row>
    <row r="134" spans="1:16" customFormat="1" x14ac:dyDescent="0.25">
      <c r="C134" s="349"/>
      <c r="D134" s="350"/>
      <c r="E134" s="350"/>
      <c r="F134" s="350"/>
      <c r="G134" s="351"/>
      <c r="H134" s="351"/>
      <c r="I134" s="351"/>
      <c r="J134" s="469"/>
      <c r="K134" s="527" t="s">
        <v>1088</v>
      </c>
      <c r="L134" s="528">
        <v>245012.59</v>
      </c>
      <c r="M134" s="277">
        <v>53931</v>
      </c>
    </row>
    <row r="135" spans="1:16" customFormat="1" x14ac:dyDescent="0.25">
      <c r="C135" s="470" t="s">
        <v>863</v>
      </c>
      <c r="D135" s="350"/>
      <c r="E135" s="351"/>
      <c r="F135" s="350"/>
      <c r="G135" s="351">
        <f>SUM(G9:G20)+SUM(G21:G23)+G25+SUM(G28:G31)+SUM(G33:G34)+SUM(G39:G41)+J45+G44+G46+G47+SUM(G50:G65) +SUM(G73:G79)+SUM(G81:G89)+G95+G118+SUM(G121:G122)+G124+G125</f>
        <v>251986</v>
      </c>
      <c r="H135" s="351"/>
      <c r="I135" s="413"/>
      <c r="J135" s="469"/>
      <c r="K135" s="527" t="s">
        <v>1089</v>
      </c>
      <c r="L135" s="528">
        <v>242001.18</v>
      </c>
      <c r="M135" s="277">
        <v>144489.38999999996</v>
      </c>
    </row>
    <row r="136" spans="1:16" customFormat="1" x14ac:dyDescent="0.25">
      <c r="C136" s="471" t="s">
        <v>904</v>
      </c>
      <c r="D136" s="350"/>
      <c r="E136" s="350"/>
      <c r="F136" s="350"/>
      <c r="G136" s="351">
        <f>G96+G97+G98+G99+G123</f>
        <v>26500</v>
      </c>
      <c r="H136" s="351"/>
      <c r="I136" s="351">
        <f>K93+L105+L106+L107+L108+L109+L110+K114+K116</f>
        <v>81645</v>
      </c>
      <c r="J136" s="472">
        <f>I136-G136</f>
        <v>55145</v>
      </c>
      <c r="K136" s="529" t="s">
        <v>1090</v>
      </c>
      <c r="L136" s="528">
        <v>225000</v>
      </c>
      <c r="M136" s="277">
        <v>117392.5</v>
      </c>
    </row>
    <row r="137" spans="1:16" customFormat="1" x14ac:dyDescent="0.25">
      <c r="C137" s="473" t="s">
        <v>905</v>
      </c>
      <c r="D137" s="351"/>
      <c r="E137" s="351"/>
      <c r="F137" s="350"/>
      <c r="G137" s="351"/>
      <c r="H137" s="351"/>
      <c r="I137" s="351"/>
      <c r="J137" s="472"/>
      <c r="K137" s="529" t="s">
        <v>1091</v>
      </c>
      <c r="L137" s="528">
        <v>282880</v>
      </c>
      <c r="M137" s="277">
        <v>92512</v>
      </c>
    </row>
    <row r="138" spans="1:16" customFormat="1" ht="30" x14ac:dyDescent="0.25">
      <c r="C138" s="474" t="s">
        <v>906</v>
      </c>
      <c r="D138" s="350"/>
      <c r="E138" s="350"/>
      <c r="F138" s="350"/>
      <c r="G138" s="412"/>
      <c r="H138" s="351"/>
      <c r="I138" s="351">
        <f>SUM(K14,K17,K36,K42,K48,K49,K67,K69,K91,K100,K102)</f>
        <v>155086</v>
      </c>
      <c r="J138" s="469"/>
      <c r="K138" s="548" t="s">
        <v>1394</v>
      </c>
      <c r="L138" s="528">
        <f>G135</f>
        <v>251986</v>
      </c>
      <c r="M138" s="277">
        <v>142696</v>
      </c>
    </row>
    <row r="139" spans="1:16" customFormat="1" x14ac:dyDescent="0.25">
      <c r="C139" s="475" t="s">
        <v>245</v>
      </c>
      <c r="D139" s="351"/>
      <c r="E139" s="351"/>
      <c r="F139" s="350"/>
      <c r="G139" s="351">
        <f>G24+G38+G80</f>
        <v>2497</v>
      </c>
      <c r="H139" s="351"/>
      <c r="I139" s="413"/>
      <c r="J139" s="469"/>
    </row>
    <row r="140" spans="1:16" customFormat="1" x14ac:dyDescent="0.25">
      <c r="C140" s="182" t="s">
        <v>907</v>
      </c>
      <c r="D140" s="350"/>
      <c r="E140" s="350"/>
      <c r="F140" s="350"/>
      <c r="G140" s="351"/>
      <c r="H140" s="351"/>
      <c r="I140" s="351"/>
      <c r="J140" s="472">
        <f>I140-G140</f>
        <v>0</v>
      </c>
    </row>
    <row r="141" spans="1:16" customFormat="1" x14ac:dyDescent="0.25">
      <c r="C141" s="476" t="s">
        <v>121</v>
      </c>
      <c r="D141" s="350"/>
      <c r="E141" s="350"/>
      <c r="F141" s="350"/>
      <c r="G141" s="413"/>
      <c r="H141" s="351"/>
      <c r="I141" s="351">
        <f>K15+K18+K32+K35+K37+K43+K66+K68+K70+K72+K90+K92+K94</f>
        <v>61.36999999999999</v>
      </c>
      <c r="J141" s="469"/>
    </row>
    <row r="142" spans="1:16" customFormat="1" x14ac:dyDescent="0.25">
      <c r="C142" s="477" t="s">
        <v>908</v>
      </c>
      <c r="D142" s="350"/>
      <c r="E142" s="350"/>
      <c r="F142" s="350"/>
      <c r="G142" s="413"/>
      <c r="H142" s="351"/>
      <c r="I142" s="351">
        <f>K71+K119+K126</f>
        <v>7055</v>
      </c>
      <c r="J142" s="472"/>
      <c r="K142" t="s">
        <v>1479</v>
      </c>
    </row>
    <row r="143" spans="1:16" customFormat="1" x14ac:dyDescent="0.25">
      <c r="C143" s="399" t="s">
        <v>1048</v>
      </c>
      <c r="D143" s="350"/>
      <c r="E143" s="350"/>
      <c r="F143" s="350"/>
      <c r="G143" s="351"/>
      <c r="H143" s="351"/>
      <c r="I143" s="351"/>
      <c r="J143" s="469"/>
    </row>
    <row r="144" spans="1:16" customFormat="1" x14ac:dyDescent="0.25">
      <c r="C144" s="478" t="s">
        <v>1071</v>
      </c>
      <c r="D144" s="350"/>
      <c r="E144" s="350"/>
      <c r="F144" s="350"/>
      <c r="G144" s="351"/>
      <c r="H144" s="351"/>
      <c r="I144" s="351"/>
      <c r="J144" s="472">
        <f>I144-G144</f>
        <v>0</v>
      </c>
    </row>
    <row r="145" spans="3:11" customFormat="1" x14ac:dyDescent="0.25">
      <c r="C145" s="536" t="s">
        <v>1290</v>
      </c>
      <c r="D145" s="350"/>
      <c r="E145" s="350"/>
      <c r="F145" s="350"/>
      <c r="G145" s="351">
        <v>9474</v>
      </c>
      <c r="H145" s="351"/>
      <c r="I145" s="351"/>
      <c r="J145" s="472"/>
    </row>
    <row r="146" spans="3:11" customFormat="1" x14ac:dyDescent="0.25">
      <c r="C146" s="539" t="s">
        <v>1314</v>
      </c>
      <c r="D146" s="350"/>
      <c r="E146" s="350"/>
      <c r="F146" s="350"/>
      <c r="G146" s="351"/>
      <c r="H146" s="351"/>
      <c r="I146" s="351">
        <v>100000</v>
      </c>
      <c r="J146" s="472"/>
    </row>
    <row r="147" spans="3:11" customFormat="1" ht="18.75" x14ac:dyDescent="0.3">
      <c r="C147" s="349"/>
      <c r="D147" s="353" t="s">
        <v>801</v>
      </c>
      <c r="E147" s="353"/>
      <c r="F147" s="353"/>
      <c r="G147" s="530">
        <f>SUM(G135:G146)</f>
        <v>290457</v>
      </c>
      <c r="H147" s="530"/>
      <c r="I147" s="530">
        <f>SUM(I134:I146)</f>
        <v>343847.37</v>
      </c>
      <c r="J147" s="469">
        <f>SUM(J135:J144)</f>
        <v>55145</v>
      </c>
    </row>
    <row r="148" spans="3:11" customFormat="1" x14ac:dyDescent="0.25">
      <c r="C148" s="349"/>
      <c r="D148" s="350"/>
      <c r="E148" s="350"/>
      <c r="F148" s="350"/>
      <c r="G148" s="351"/>
      <c r="H148" s="351"/>
      <c r="I148" s="351"/>
      <c r="J148" s="469"/>
    </row>
    <row r="149" spans="3:11" customFormat="1" ht="19.5" thickBot="1" x14ac:dyDescent="0.35">
      <c r="C149" s="479"/>
      <c r="D149" s="361" t="s">
        <v>909</v>
      </c>
      <c r="E149" s="361"/>
      <c r="F149" s="361"/>
      <c r="G149" s="362"/>
      <c r="H149" s="362"/>
      <c r="I149" s="531">
        <f>G147-I147</f>
        <v>-53390.369999999995</v>
      </c>
      <c r="J149" s="532"/>
      <c r="K149" t="s">
        <v>1328</v>
      </c>
    </row>
    <row r="150" spans="3:11" customFormat="1" ht="21" x14ac:dyDescent="0.35">
      <c r="C150" s="524" t="s">
        <v>1277</v>
      </c>
      <c r="D150" s="525"/>
      <c r="E150" s="525"/>
      <c r="F150" s="525"/>
      <c r="G150" s="533"/>
      <c r="H150" s="19"/>
      <c r="I150" s="19"/>
      <c r="J150" s="165"/>
    </row>
  </sheetData>
  <autoFilter ref="A1:P89"/>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5"/>
  <sheetViews>
    <sheetView workbookViewId="0">
      <selection activeCell="M46" sqref="M46"/>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8" ht="24" thickBot="1" x14ac:dyDescent="0.4">
      <c r="A1" s="483" t="s">
        <v>1478</v>
      </c>
      <c r="B1" s="92"/>
      <c r="C1" s="92"/>
      <c r="D1" s="92"/>
      <c r="E1" s="92"/>
      <c r="F1" s="92"/>
      <c r="G1" s="92"/>
      <c r="H1" s="92"/>
    </row>
    <row r="2" spans="1:8" ht="15.75" thickBot="1" x14ac:dyDescent="0.3">
      <c r="A2" s="584" t="s">
        <v>3</v>
      </c>
      <c r="B2" s="601" t="s">
        <v>1460</v>
      </c>
      <c r="C2" s="602"/>
      <c r="D2" s="604" t="s">
        <v>1462</v>
      </c>
      <c r="E2" s="605"/>
      <c r="F2" s="603" t="s">
        <v>1464</v>
      </c>
      <c r="G2" s="603"/>
      <c r="H2" s="584" t="s">
        <v>1125</v>
      </c>
    </row>
    <row r="3" spans="1:8" ht="15.75" thickBot="1" x14ac:dyDescent="0.3">
      <c r="A3" s="584"/>
      <c r="B3" s="585" t="s">
        <v>1181</v>
      </c>
      <c r="C3" s="585" t="s">
        <v>1180</v>
      </c>
      <c r="D3" s="586" t="s">
        <v>1181</v>
      </c>
      <c r="E3" s="586" t="s">
        <v>1180</v>
      </c>
      <c r="F3" s="587" t="s">
        <v>1461</v>
      </c>
      <c r="G3" s="587" t="s">
        <v>1180</v>
      </c>
      <c r="H3" s="584"/>
    </row>
    <row r="4" spans="1:8" x14ac:dyDescent="0.25">
      <c r="A4" s="92">
        <f>ROW()-3</f>
        <v>1</v>
      </c>
      <c r="B4" s="92"/>
      <c r="C4" s="92"/>
      <c r="D4" s="92"/>
      <c r="E4" s="92"/>
      <c r="F4" s="583">
        <v>10000</v>
      </c>
      <c r="G4" s="92"/>
      <c r="H4" s="92" t="s">
        <v>1463</v>
      </c>
    </row>
    <row r="5" spans="1:8" x14ac:dyDescent="0.25">
      <c r="A5" s="92">
        <f t="shared" ref="A5:A20" si="0">ROW()-3</f>
        <v>2</v>
      </c>
      <c r="B5" s="92"/>
      <c r="C5" s="92"/>
      <c r="D5" s="92"/>
      <c r="E5" s="92"/>
      <c r="F5" s="93"/>
      <c r="G5" s="40">
        <v>5000</v>
      </c>
      <c r="H5" s="175" t="s">
        <v>1465</v>
      </c>
    </row>
    <row r="6" spans="1:8" x14ac:dyDescent="0.25">
      <c r="A6" s="92">
        <f t="shared" si="0"/>
        <v>3</v>
      </c>
      <c r="B6" s="92"/>
      <c r="C6" s="92"/>
      <c r="D6" s="92"/>
      <c r="E6" s="92"/>
      <c r="F6" s="93"/>
      <c r="G6" s="40">
        <v>4000</v>
      </c>
      <c r="H6" s="175" t="s">
        <v>1466</v>
      </c>
    </row>
    <row r="7" spans="1:8" x14ac:dyDescent="0.25">
      <c r="A7" s="92">
        <f t="shared" si="0"/>
        <v>4</v>
      </c>
      <c r="B7" s="92"/>
      <c r="C7" s="92"/>
      <c r="D7" s="92"/>
      <c r="E7" s="92"/>
      <c r="F7" s="93"/>
      <c r="G7" s="40">
        <v>5000</v>
      </c>
      <c r="H7" s="175" t="s">
        <v>1467</v>
      </c>
    </row>
    <row r="8" spans="1:8" ht="15.75" thickBot="1" x14ac:dyDescent="0.3">
      <c r="A8" s="92">
        <f t="shared" si="0"/>
        <v>5</v>
      </c>
      <c r="B8" s="92"/>
      <c r="C8" s="92"/>
      <c r="D8" s="92"/>
      <c r="E8" s="92"/>
      <c r="F8" s="93"/>
      <c r="G8" s="40">
        <v>10000</v>
      </c>
      <c r="H8" s="175" t="s">
        <v>1468</v>
      </c>
    </row>
    <row r="9" spans="1:8" ht="15.75" thickBot="1" x14ac:dyDescent="0.3">
      <c r="A9" s="92">
        <f t="shared" si="0"/>
        <v>6</v>
      </c>
      <c r="B9" s="574">
        <f>15000+2675</f>
        <v>17675</v>
      </c>
      <c r="C9" s="92"/>
      <c r="D9" s="92"/>
      <c r="E9" s="575">
        <f>15000+2675</f>
        <v>17675</v>
      </c>
      <c r="F9" s="93"/>
      <c r="G9" s="92"/>
      <c r="H9" s="92" t="s">
        <v>1469</v>
      </c>
    </row>
    <row r="10" spans="1:8" ht="30" x14ac:dyDescent="0.25">
      <c r="A10" s="92">
        <f t="shared" si="0"/>
        <v>7</v>
      </c>
      <c r="B10" s="92"/>
      <c r="C10" s="92"/>
      <c r="D10" s="575">
        <v>2675</v>
      </c>
      <c r="E10" s="92"/>
      <c r="F10" s="93"/>
      <c r="G10" s="92"/>
      <c r="H10" s="578" t="s">
        <v>1432</v>
      </c>
    </row>
    <row r="11" spans="1:8" x14ac:dyDescent="0.25">
      <c r="A11" s="92">
        <f t="shared" si="0"/>
        <v>8</v>
      </c>
      <c r="B11" s="92"/>
      <c r="C11" s="92"/>
      <c r="D11" s="576">
        <v>1000</v>
      </c>
      <c r="E11" s="92"/>
      <c r="F11" s="93"/>
      <c r="G11" s="92"/>
      <c r="H11" s="578" t="s">
        <v>1433</v>
      </c>
    </row>
    <row r="12" spans="1:8" x14ac:dyDescent="0.25">
      <c r="A12" s="92">
        <f t="shared" si="0"/>
        <v>9</v>
      </c>
      <c r="B12" s="92"/>
      <c r="C12" s="92"/>
      <c r="D12" s="576">
        <v>700</v>
      </c>
      <c r="E12" s="92"/>
      <c r="F12" s="93"/>
      <c r="G12" s="92"/>
      <c r="H12" s="578" t="s">
        <v>411</v>
      </c>
    </row>
    <row r="13" spans="1:8" x14ac:dyDescent="0.25">
      <c r="A13" s="92">
        <f t="shared" si="0"/>
        <v>10</v>
      </c>
      <c r="B13" s="92"/>
      <c r="C13" s="92"/>
      <c r="D13" s="576">
        <v>4017</v>
      </c>
      <c r="E13" s="92"/>
      <c r="F13" s="93"/>
      <c r="G13" s="92"/>
      <c r="H13" s="578" t="s">
        <v>1434</v>
      </c>
    </row>
    <row r="14" spans="1:8" x14ac:dyDescent="0.25">
      <c r="A14" s="92">
        <f t="shared" si="0"/>
        <v>11</v>
      </c>
      <c r="B14" s="92"/>
      <c r="C14" s="92"/>
      <c r="D14" s="576">
        <v>4500</v>
      </c>
      <c r="E14" s="92"/>
      <c r="F14" s="93"/>
      <c r="G14" s="92"/>
      <c r="H14" s="578" t="s">
        <v>1435</v>
      </c>
    </row>
    <row r="15" spans="1:8" ht="15.75" thickBot="1" x14ac:dyDescent="0.3">
      <c r="A15" s="92">
        <f t="shared" si="0"/>
        <v>12</v>
      </c>
      <c r="B15" s="92"/>
      <c r="C15" s="92"/>
      <c r="D15" s="576">
        <v>2120</v>
      </c>
      <c r="E15" s="92"/>
      <c r="F15" s="93"/>
      <c r="G15" s="92"/>
      <c r="H15" s="578" t="s">
        <v>1436</v>
      </c>
    </row>
    <row r="16" spans="1:8" ht="15.75" thickBot="1" x14ac:dyDescent="0.3">
      <c r="A16" s="92">
        <f t="shared" si="0"/>
        <v>13</v>
      </c>
      <c r="B16" s="92"/>
      <c r="C16" s="574">
        <v>2663</v>
      </c>
      <c r="D16" s="576">
        <v>2663</v>
      </c>
      <c r="E16" s="92"/>
      <c r="F16" s="93"/>
      <c r="G16" s="92"/>
      <c r="H16" s="93" t="s">
        <v>1470</v>
      </c>
    </row>
    <row r="17" spans="1:8" x14ac:dyDescent="0.25">
      <c r="A17" s="92">
        <f t="shared" si="0"/>
        <v>14</v>
      </c>
      <c r="B17" s="92"/>
      <c r="C17" s="92"/>
      <c r="D17" s="92"/>
      <c r="E17" s="92"/>
      <c r="F17" s="583">
        <v>50633</v>
      </c>
      <c r="G17" s="92"/>
      <c r="H17" s="92" t="s">
        <v>1471</v>
      </c>
    </row>
    <row r="18" spans="1:8" x14ac:dyDescent="0.25">
      <c r="A18" s="92">
        <f t="shared" si="0"/>
        <v>15</v>
      </c>
      <c r="B18" s="92"/>
      <c r="C18" s="92"/>
      <c r="D18" s="92"/>
      <c r="E18" s="92"/>
      <c r="F18" s="583">
        <v>6000</v>
      </c>
      <c r="G18" s="92"/>
      <c r="H18" s="92" t="s">
        <v>1472</v>
      </c>
    </row>
    <row r="19" spans="1:8" ht="15.75" thickBot="1" x14ac:dyDescent="0.3">
      <c r="A19" s="92">
        <f t="shared" si="0"/>
        <v>16</v>
      </c>
      <c r="B19" s="92"/>
      <c r="C19" s="92"/>
      <c r="D19" s="92"/>
      <c r="E19" s="92"/>
      <c r="F19" s="93"/>
      <c r="G19" s="40">
        <v>2500</v>
      </c>
      <c r="H19" s="92" t="s">
        <v>1473</v>
      </c>
    </row>
    <row r="20" spans="1:8" ht="15.75" thickBot="1" x14ac:dyDescent="0.3">
      <c r="A20" s="92">
        <f t="shared" si="0"/>
        <v>17</v>
      </c>
      <c r="B20" s="92"/>
      <c r="C20" s="574">
        <v>15012</v>
      </c>
      <c r="D20" s="92"/>
      <c r="E20" s="92"/>
      <c r="F20" s="583">
        <v>15012</v>
      </c>
      <c r="G20" s="92"/>
      <c r="H20" s="92" t="s">
        <v>1474</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8"/>
      <c r="G23" s="589"/>
      <c r="H23" s="589"/>
    </row>
    <row r="24" spans="1:8" x14ac:dyDescent="0.25">
      <c r="A24" s="582"/>
      <c r="B24" s="596">
        <f t="shared" ref="B24:G24" si="1">SUM(B4:B23)</f>
        <v>17675</v>
      </c>
      <c r="C24" s="596">
        <f t="shared" si="1"/>
        <v>17675</v>
      </c>
      <c r="D24" s="575">
        <f t="shared" si="1"/>
        <v>17675</v>
      </c>
      <c r="E24" s="575">
        <f t="shared" si="1"/>
        <v>17675</v>
      </c>
      <c r="F24" s="590">
        <f t="shared" si="1"/>
        <v>81645</v>
      </c>
      <c r="G24" s="591">
        <f t="shared" si="1"/>
        <v>26500</v>
      </c>
      <c r="H24" s="592">
        <f>F24-G24</f>
        <v>55145</v>
      </c>
    </row>
    <row r="25" spans="1:8" ht="15.75" thickBot="1" x14ac:dyDescent="0.3">
      <c r="A25" s="92"/>
      <c r="B25" s="92"/>
      <c r="C25" s="92"/>
      <c r="D25" s="92"/>
      <c r="E25" s="263"/>
      <c r="F25" s="593" t="s">
        <v>1475</v>
      </c>
      <c r="G25" s="594" t="s">
        <v>1476</v>
      </c>
      <c r="H25" s="595" t="s">
        <v>1477</v>
      </c>
    </row>
  </sheetData>
  <mergeCells count="3">
    <mergeCell ref="B2:C2"/>
    <mergeCell ref="F2:G2"/>
    <mergeCell ref="D2:E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topLeftCell="A33"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914</v>
      </c>
      <c r="B1" s="366"/>
      <c r="C1" s="366"/>
      <c r="D1" s="366"/>
    </row>
    <row r="2" spans="1:6" ht="26.25" x14ac:dyDescent="0.4">
      <c r="A2" s="365"/>
      <c r="B2" s="366"/>
      <c r="C2" s="366"/>
      <c r="D2" s="366"/>
    </row>
    <row r="3" spans="1:6" ht="26.25" x14ac:dyDescent="0.4">
      <c r="A3" s="306" t="s">
        <v>863</v>
      </c>
    </row>
    <row r="4" spans="1:6" ht="18.75" x14ac:dyDescent="0.3">
      <c r="A4" s="315"/>
      <c r="B4" s="315"/>
      <c r="C4" s="315"/>
      <c r="D4" s="315"/>
      <c r="E4" s="316" t="s">
        <v>890</v>
      </c>
      <c r="F4" s="316" t="s">
        <v>858</v>
      </c>
    </row>
    <row r="5" spans="1:6" ht="30" x14ac:dyDescent="0.25">
      <c r="A5" s="92">
        <v>1</v>
      </c>
      <c r="B5" s="35">
        <v>45020</v>
      </c>
      <c r="C5" s="36" t="s">
        <v>73</v>
      </c>
      <c r="D5" s="36" t="s">
        <v>382</v>
      </c>
      <c r="E5" s="37">
        <v>1500</v>
      </c>
      <c r="F5" s="93"/>
    </row>
    <row r="6" spans="1:6" ht="30" x14ac:dyDescent="0.25">
      <c r="A6" s="92">
        <f>A5+1</f>
        <v>2</v>
      </c>
      <c r="B6" s="35">
        <v>45020</v>
      </c>
      <c r="C6" s="36" t="s">
        <v>860</v>
      </c>
      <c r="D6" s="36" t="s">
        <v>591</v>
      </c>
      <c r="E6" s="37">
        <v>2500</v>
      </c>
      <c r="F6" s="93"/>
    </row>
    <row r="7" spans="1:6" ht="30" x14ac:dyDescent="0.25">
      <c r="A7" s="92">
        <f t="shared" ref="A7:A61" si="0">A6+1</f>
        <v>3</v>
      </c>
      <c r="B7" s="35">
        <v>45020</v>
      </c>
      <c r="C7" s="36" t="s">
        <v>861</v>
      </c>
      <c r="D7" s="36" t="s">
        <v>29</v>
      </c>
      <c r="E7" s="37">
        <v>2500</v>
      </c>
      <c r="F7" s="93"/>
    </row>
    <row r="8" spans="1:6" ht="30" x14ac:dyDescent="0.25">
      <c r="A8" s="92">
        <f t="shared" si="0"/>
        <v>4</v>
      </c>
      <c r="B8" s="35">
        <v>45020</v>
      </c>
      <c r="C8" s="36" t="s">
        <v>538</v>
      </c>
      <c r="D8" s="36" t="s">
        <v>584</v>
      </c>
      <c r="E8" s="37">
        <v>1500</v>
      </c>
      <c r="F8" s="93"/>
    </row>
    <row r="9" spans="1:6" ht="30" x14ac:dyDescent="0.25">
      <c r="A9" s="92">
        <f t="shared" si="0"/>
        <v>5</v>
      </c>
      <c r="B9" s="35">
        <v>45020</v>
      </c>
      <c r="C9" s="36" t="s">
        <v>540</v>
      </c>
      <c r="D9" s="36" t="s">
        <v>541</v>
      </c>
      <c r="E9" s="37">
        <v>1500</v>
      </c>
      <c r="F9" s="93"/>
    </row>
    <row r="10" spans="1:6" ht="30" x14ac:dyDescent="0.25">
      <c r="A10" s="92">
        <f t="shared" si="0"/>
        <v>6</v>
      </c>
      <c r="B10" s="35">
        <v>45020</v>
      </c>
      <c r="C10" s="36" t="s">
        <v>15</v>
      </c>
      <c r="D10" s="36" t="s">
        <v>691</v>
      </c>
      <c r="E10" s="37">
        <v>2500</v>
      </c>
      <c r="F10" s="93"/>
    </row>
    <row r="11" spans="1:6" x14ac:dyDescent="0.25">
      <c r="A11" s="92">
        <f t="shared" si="0"/>
        <v>7</v>
      </c>
      <c r="B11" s="35">
        <v>45021</v>
      </c>
      <c r="C11" s="36" t="s">
        <v>661</v>
      </c>
      <c r="D11" s="36" t="s">
        <v>225</v>
      </c>
      <c r="E11" s="37">
        <v>2500</v>
      </c>
      <c r="F11" s="93"/>
    </row>
    <row r="12" spans="1:6" ht="30" x14ac:dyDescent="0.25">
      <c r="A12" s="92">
        <f t="shared" si="0"/>
        <v>8</v>
      </c>
      <c r="B12" s="35">
        <v>45021</v>
      </c>
      <c r="C12" s="36" t="s">
        <v>546</v>
      </c>
      <c r="D12" s="36" t="s">
        <v>545</v>
      </c>
      <c r="E12" s="37">
        <v>2500</v>
      </c>
      <c r="F12" s="93"/>
    </row>
    <row r="13" spans="1:6" ht="45" x14ac:dyDescent="0.25">
      <c r="A13" s="92">
        <f t="shared" si="0"/>
        <v>9</v>
      </c>
      <c r="B13" s="35">
        <v>45021</v>
      </c>
      <c r="C13" s="36" t="s">
        <v>549</v>
      </c>
      <c r="D13" s="36" t="s">
        <v>548</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552</v>
      </c>
      <c r="E15" s="37">
        <v>2500</v>
      </c>
      <c r="F15" s="93"/>
    </row>
    <row r="16" spans="1:6" x14ac:dyDescent="0.25">
      <c r="A16" s="92">
        <f t="shared" si="0"/>
        <v>12</v>
      </c>
      <c r="B16" s="35">
        <v>45026</v>
      </c>
      <c r="C16" s="36" t="s">
        <v>554</v>
      </c>
      <c r="D16" s="36" t="s">
        <v>29</v>
      </c>
      <c r="E16" s="37">
        <v>2500</v>
      </c>
      <c r="F16" s="93"/>
    </row>
    <row r="17" spans="1:6" ht="30" x14ac:dyDescent="0.25">
      <c r="A17" s="92">
        <f t="shared" si="0"/>
        <v>13</v>
      </c>
      <c r="B17" s="35">
        <v>45026</v>
      </c>
      <c r="C17" s="36" t="s">
        <v>555</v>
      </c>
      <c r="D17" s="36" t="s">
        <v>557</v>
      </c>
      <c r="E17" s="37">
        <v>1500</v>
      </c>
      <c r="F17" s="93"/>
    </row>
    <row r="18" spans="1:6" ht="30" x14ac:dyDescent="0.25">
      <c r="A18" s="92">
        <f t="shared" si="0"/>
        <v>14</v>
      </c>
      <c r="B18" s="35">
        <v>45028</v>
      </c>
      <c r="C18" s="36" t="s">
        <v>135</v>
      </c>
      <c r="D18" s="36" t="s">
        <v>559</v>
      </c>
      <c r="E18" s="37">
        <v>2500</v>
      </c>
      <c r="F18" s="93"/>
    </row>
    <row r="19" spans="1:6" x14ac:dyDescent="0.25">
      <c r="A19" s="92">
        <f t="shared" si="0"/>
        <v>15</v>
      </c>
      <c r="B19" s="35">
        <v>45031</v>
      </c>
      <c r="C19" s="36" t="s">
        <v>560</v>
      </c>
      <c r="D19" s="36" t="s">
        <v>270</v>
      </c>
      <c r="E19" s="37">
        <v>2500</v>
      </c>
      <c r="F19" s="93"/>
    </row>
    <row r="20" spans="1:6" x14ac:dyDescent="0.25">
      <c r="A20" s="92">
        <f t="shared" si="0"/>
        <v>16</v>
      </c>
      <c r="B20" s="35">
        <v>45034</v>
      </c>
      <c r="C20" s="36" t="s">
        <v>592</v>
      </c>
      <c r="D20" s="36" t="s">
        <v>562</v>
      </c>
      <c r="E20" s="37">
        <v>2500</v>
      </c>
      <c r="F20" s="93"/>
    </row>
    <row r="21" spans="1:6" ht="30" x14ac:dyDescent="0.25">
      <c r="A21" s="92">
        <f t="shared" si="0"/>
        <v>17</v>
      </c>
      <c r="B21" s="35">
        <v>45034</v>
      </c>
      <c r="C21" s="36" t="s">
        <v>565</v>
      </c>
      <c r="D21" s="36" t="s">
        <v>564</v>
      </c>
      <c r="E21" s="37">
        <v>2500</v>
      </c>
      <c r="F21" s="93"/>
    </row>
    <row r="22" spans="1:6" ht="30" x14ac:dyDescent="0.25">
      <c r="A22" s="92">
        <f t="shared" si="0"/>
        <v>18</v>
      </c>
      <c r="B22" s="35">
        <v>45035</v>
      </c>
      <c r="C22" s="36" t="s">
        <v>567</v>
      </c>
      <c r="D22" s="36" t="s">
        <v>566</v>
      </c>
      <c r="E22" s="37">
        <v>6000</v>
      </c>
      <c r="F22" s="93"/>
    </row>
    <row r="23" spans="1:6" x14ac:dyDescent="0.25">
      <c r="A23" s="92">
        <f t="shared" si="0"/>
        <v>19</v>
      </c>
      <c r="B23" s="35">
        <v>45042</v>
      </c>
      <c r="C23" s="36" t="s">
        <v>570</v>
      </c>
      <c r="D23" s="36" t="s">
        <v>569</v>
      </c>
      <c r="E23" s="37">
        <v>5000</v>
      </c>
      <c r="F23" s="93"/>
    </row>
    <row r="24" spans="1:6" ht="30" x14ac:dyDescent="0.25">
      <c r="A24" s="92">
        <f t="shared" si="0"/>
        <v>20</v>
      </c>
      <c r="B24" s="35">
        <v>45043</v>
      </c>
      <c r="C24" s="36" t="s">
        <v>573</v>
      </c>
      <c r="D24" s="36" t="s">
        <v>572</v>
      </c>
      <c r="E24" s="37">
        <v>7500</v>
      </c>
      <c r="F24" s="93"/>
    </row>
    <row r="25" spans="1:6" ht="30" x14ac:dyDescent="0.25">
      <c r="A25" s="92">
        <f t="shared" si="0"/>
        <v>21</v>
      </c>
      <c r="B25" s="35">
        <v>45045</v>
      </c>
      <c r="C25" s="36" t="s">
        <v>575</v>
      </c>
      <c r="D25" s="36" t="s">
        <v>593</v>
      </c>
      <c r="E25" s="37">
        <v>7500</v>
      </c>
      <c r="F25" s="93"/>
    </row>
    <row r="26" spans="1:6" ht="30" x14ac:dyDescent="0.25">
      <c r="A26" s="92">
        <f t="shared" si="0"/>
        <v>22</v>
      </c>
      <c r="B26" s="35">
        <v>45045</v>
      </c>
      <c r="C26" s="36" t="s">
        <v>333</v>
      </c>
      <c r="D26" s="36" t="s">
        <v>693</v>
      </c>
      <c r="E26" s="37">
        <v>7500</v>
      </c>
      <c r="F26" s="93"/>
    </row>
    <row r="27" spans="1:6" x14ac:dyDescent="0.25">
      <c r="A27" s="92">
        <f t="shared" si="0"/>
        <v>23</v>
      </c>
      <c r="B27" s="35">
        <v>45052</v>
      </c>
      <c r="C27" s="36" t="s">
        <v>594</v>
      </c>
      <c r="D27" s="36" t="s">
        <v>43</v>
      </c>
      <c r="E27" s="37">
        <v>2500</v>
      </c>
      <c r="F27" s="93"/>
    </row>
    <row r="28" spans="1:6" x14ac:dyDescent="0.25">
      <c r="A28" s="92">
        <f t="shared" si="0"/>
        <v>24</v>
      </c>
      <c r="B28" s="35">
        <v>45056</v>
      </c>
      <c r="C28" s="36" t="s">
        <v>580</v>
      </c>
      <c r="D28" s="36" t="s">
        <v>582</v>
      </c>
      <c r="E28" s="37">
        <v>2500</v>
      </c>
      <c r="F28" s="93"/>
    </row>
    <row r="29" spans="1:6" ht="30" x14ac:dyDescent="0.25">
      <c r="A29" s="92">
        <f t="shared" si="0"/>
        <v>25</v>
      </c>
      <c r="B29" s="35">
        <v>45061</v>
      </c>
      <c r="C29" s="36" t="s">
        <v>586</v>
      </c>
      <c r="D29" s="36" t="s">
        <v>587</v>
      </c>
      <c r="E29" s="37">
        <v>2500</v>
      </c>
      <c r="F29" s="93"/>
    </row>
    <row r="30" spans="1:6" ht="45" x14ac:dyDescent="0.25">
      <c r="A30" s="92">
        <f t="shared" si="0"/>
        <v>26</v>
      </c>
      <c r="B30" s="35">
        <v>45072</v>
      </c>
      <c r="C30" s="36" t="s">
        <v>142</v>
      </c>
      <c r="D30" s="36" t="s">
        <v>617</v>
      </c>
      <c r="E30" s="37">
        <v>10000</v>
      </c>
      <c r="F30" s="93"/>
    </row>
    <row r="31" spans="1:6" x14ac:dyDescent="0.25">
      <c r="A31" s="92">
        <f t="shared" si="0"/>
        <v>27</v>
      </c>
      <c r="B31" s="35">
        <v>45072</v>
      </c>
      <c r="C31" s="36" t="s">
        <v>620</v>
      </c>
      <c r="D31" s="36" t="s">
        <v>621</v>
      </c>
      <c r="E31" s="37">
        <v>2500</v>
      </c>
      <c r="F31" s="93"/>
    </row>
    <row r="32" spans="1:6" ht="30" x14ac:dyDescent="0.25">
      <c r="A32" s="92">
        <f t="shared" si="0"/>
        <v>28</v>
      </c>
      <c r="B32" s="35">
        <v>45072</v>
      </c>
      <c r="C32" s="36" t="s">
        <v>623</v>
      </c>
      <c r="D32" s="36" t="s">
        <v>626</v>
      </c>
      <c r="E32" s="37">
        <v>2500</v>
      </c>
      <c r="F32" s="93"/>
    </row>
    <row r="33" spans="1:6" ht="30" x14ac:dyDescent="0.25">
      <c r="A33" s="92">
        <f t="shared" si="0"/>
        <v>29</v>
      </c>
      <c r="B33" s="35">
        <v>45073</v>
      </c>
      <c r="C33" s="36" t="s">
        <v>628</v>
      </c>
      <c r="D33" s="36" t="s">
        <v>629</v>
      </c>
      <c r="E33" s="37">
        <v>2500</v>
      </c>
      <c r="F33" s="93"/>
    </row>
    <row r="34" spans="1:6" ht="30" x14ac:dyDescent="0.25">
      <c r="A34" s="92">
        <f t="shared" si="0"/>
        <v>30</v>
      </c>
      <c r="B34" s="35">
        <v>45075</v>
      </c>
      <c r="C34" s="36" t="s">
        <v>351</v>
      </c>
      <c r="D34" s="36" t="s">
        <v>668</v>
      </c>
      <c r="E34" s="37">
        <v>7500</v>
      </c>
      <c r="F34" s="93"/>
    </row>
    <row r="35" spans="1:6" x14ac:dyDescent="0.25">
      <c r="A35" s="92">
        <f t="shared" si="0"/>
        <v>31</v>
      </c>
      <c r="B35" s="35">
        <v>45076</v>
      </c>
      <c r="C35" s="36" t="s">
        <v>631</v>
      </c>
      <c r="D35" s="36" t="s">
        <v>37</v>
      </c>
      <c r="E35" s="37">
        <v>2500</v>
      </c>
      <c r="F35" s="93"/>
    </row>
    <row r="36" spans="1:6" ht="30" x14ac:dyDescent="0.25">
      <c r="A36" s="92">
        <f t="shared" si="0"/>
        <v>32</v>
      </c>
      <c r="B36" s="35">
        <v>45084</v>
      </c>
      <c r="C36" s="36" t="s">
        <v>633</v>
      </c>
      <c r="D36" s="36" t="s">
        <v>670</v>
      </c>
      <c r="E36" s="37">
        <v>15000</v>
      </c>
      <c r="F36" s="93"/>
    </row>
    <row r="37" spans="1:6" x14ac:dyDescent="0.25">
      <c r="A37" s="92">
        <f t="shared" si="0"/>
        <v>33</v>
      </c>
      <c r="B37" s="35">
        <v>45113</v>
      </c>
      <c r="C37" s="36" t="s">
        <v>634</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642</v>
      </c>
      <c r="D39" s="36" t="s">
        <v>644</v>
      </c>
      <c r="E39" s="50">
        <v>7500</v>
      </c>
      <c r="F39" s="93"/>
    </row>
    <row r="40" spans="1:6" ht="30" x14ac:dyDescent="0.25">
      <c r="A40" s="92">
        <f t="shared" si="0"/>
        <v>36</v>
      </c>
      <c r="B40" s="35">
        <v>45150</v>
      </c>
      <c r="C40" s="36" t="s">
        <v>647</v>
      </c>
      <c r="D40" s="36" t="s">
        <v>648</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653</v>
      </c>
      <c r="D42" s="36" t="s">
        <v>654</v>
      </c>
      <c r="E42" s="50">
        <v>7500</v>
      </c>
      <c r="F42" s="93"/>
    </row>
    <row r="43" spans="1:6" ht="30" x14ac:dyDescent="0.25">
      <c r="A43" s="92">
        <f t="shared" si="0"/>
        <v>39</v>
      </c>
      <c r="B43" s="35">
        <v>45174</v>
      </c>
      <c r="C43" s="36" t="s">
        <v>36</v>
      </c>
      <c r="D43" s="36" t="s">
        <v>655</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662</v>
      </c>
      <c r="D45" s="36" t="s">
        <v>663</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665</v>
      </c>
      <c r="D47" s="36" t="s">
        <v>37</v>
      </c>
      <c r="E47" s="50">
        <v>2500</v>
      </c>
      <c r="F47" s="93"/>
    </row>
    <row r="48" spans="1:6" ht="30" x14ac:dyDescent="0.25">
      <c r="A48" s="92">
        <f t="shared" si="0"/>
        <v>44</v>
      </c>
      <c r="B48" s="35">
        <v>45183</v>
      </c>
      <c r="C48" s="36" t="s">
        <v>687</v>
      </c>
      <c r="D48" s="36" t="s">
        <v>688</v>
      </c>
      <c r="E48" s="50">
        <v>2500</v>
      </c>
      <c r="F48" s="93"/>
    </row>
    <row r="49" spans="1:6" x14ac:dyDescent="0.25">
      <c r="A49" s="92">
        <f t="shared" si="0"/>
        <v>45</v>
      </c>
      <c r="B49" s="35">
        <v>45189</v>
      </c>
      <c r="C49" s="36" t="s">
        <v>39</v>
      </c>
      <c r="D49" s="36" t="s">
        <v>681</v>
      </c>
      <c r="E49" s="50">
        <v>2500</v>
      </c>
      <c r="F49" s="93"/>
    </row>
    <row r="50" spans="1:6" ht="30" x14ac:dyDescent="0.25">
      <c r="A50" s="92">
        <f t="shared" si="0"/>
        <v>46</v>
      </c>
      <c r="B50" s="35">
        <v>45189</v>
      </c>
      <c r="C50" s="36" t="s">
        <v>690</v>
      </c>
      <c r="D50" s="36" t="s">
        <v>685</v>
      </c>
      <c r="E50" s="50">
        <v>1500</v>
      </c>
      <c r="F50" s="93"/>
    </row>
    <row r="51" spans="1:6" ht="45" x14ac:dyDescent="0.25">
      <c r="A51" s="92">
        <f t="shared" si="0"/>
        <v>47</v>
      </c>
      <c r="B51" s="35">
        <v>45189</v>
      </c>
      <c r="C51" s="36" t="s">
        <v>679</v>
      </c>
      <c r="D51" s="36" t="s">
        <v>680</v>
      </c>
      <c r="E51" s="50">
        <v>10000</v>
      </c>
      <c r="F51" s="93"/>
    </row>
    <row r="52" spans="1:6" ht="45" x14ac:dyDescent="0.25">
      <c r="A52" s="92">
        <f t="shared" si="0"/>
        <v>48</v>
      </c>
      <c r="B52" s="35">
        <v>45189</v>
      </c>
      <c r="C52" s="36" t="s">
        <v>678</v>
      </c>
      <c r="D52" s="36" t="s">
        <v>692</v>
      </c>
      <c r="E52" s="50">
        <v>15000</v>
      </c>
      <c r="F52" s="93"/>
    </row>
    <row r="53" spans="1:6" ht="45" x14ac:dyDescent="0.25">
      <c r="A53" s="92">
        <f t="shared" si="0"/>
        <v>49</v>
      </c>
      <c r="B53" s="35">
        <v>45234</v>
      </c>
      <c r="C53" s="36" t="s">
        <v>696</v>
      </c>
      <c r="D53" s="36" t="s">
        <v>378</v>
      </c>
      <c r="E53" s="50">
        <v>2500</v>
      </c>
      <c r="F53" s="93"/>
    </row>
    <row r="54" spans="1:6" x14ac:dyDescent="0.25">
      <c r="A54" s="92">
        <f t="shared" si="0"/>
        <v>50</v>
      </c>
      <c r="B54" s="35">
        <v>45238</v>
      </c>
      <c r="C54" s="36" t="s">
        <v>701</v>
      </c>
      <c r="D54" s="36"/>
      <c r="E54" s="50">
        <v>1500</v>
      </c>
      <c r="F54" s="93"/>
    </row>
    <row r="55" spans="1:6" ht="30" x14ac:dyDescent="0.25">
      <c r="A55" s="92">
        <f t="shared" si="0"/>
        <v>51</v>
      </c>
      <c r="B55" s="35">
        <v>45274</v>
      </c>
      <c r="C55" s="36" t="s">
        <v>741</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856</v>
      </c>
      <c r="D58" s="36"/>
      <c r="E58" s="50">
        <v>2500</v>
      </c>
      <c r="F58" s="93"/>
    </row>
    <row r="59" spans="1:6" ht="30" x14ac:dyDescent="0.25">
      <c r="A59" s="92">
        <f t="shared" si="0"/>
        <v>55</v>
      </c>
      <c r="B59" s="35">
        <v>45304</v>
      </c>
      <c r="C59" s="36" t="s">
        <v>766</v>
      </c>
      <c r="D59" s="36" t="s">
        <v>767</v>
      </c>
      <c r="E59" s="50">
        <v>2500</v>
      </c>
      <c r="F59" s="93"/>
    </row>
    <row r="60" spans="1:6" ht="30" x14ac:dyDescent="0.25">
      <c r="A60" s="92">
        <f t="shared" si="0"/>
        <v>56</v>
      </c>
      <c r="B60" s="35">
        <v>45309</v>
      </c>
      <c r="C60" s="36" t="s">
        <v>440</v>
      </c>
      <c r="D60" s="36" t="s">
        <v>770</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923</v>
      </c>
      <c r="D62" s="370" t="s">
        <v>923</v>
      </c>
      <c r="E62" s="372">
        <v>2500</v>
      </c>
      <c r="F62" s="373"/>
    </row>
    <row r="64" spans="1:6" x14ac:dyDescent="0.25">
      <c r="D64" s="319" t="s">
        <v>864</v>
      </c>
      <c r="E64" s="318">
        <f>SUM(E5:E62)</f>
        <v>225000</v>
      </c>
      <c r="F64" s="93"/>
    </row>
    <row r="65" spans="1:6" ht="26.25" x14ac:dyDescent="0.4">
      <c r="A65" s="306" t="s">
        <v>854</v>
      </c>
    </row>
    <row r="66" spans="1:6" ht="18.75" x14ac:dyDescent="0.3">
      <c r="A66" s="315"/>
      <c r="B66" s="315"/>
      <c r="C66" s="315"/>
      <c r="D66" s="315"/>
      <c r="E66" s="316" t="s">
        <v>890</v>
      </c>
      <c r="F66" s="316" t="s">
        <v>858</v>
      </c>
    </row>
    <row r="67" spans="1:6" x14ac:dyDescent="0.25">
      <c r="A67" s="92"/>
      <c r="B67" s="300">
        <v>45238</v>
      </c>
      <c r="C67" s="175" t="s">
        <v>698</v>
      </c>
      <c r="D67" s="36" t="s">
        <v>698</v>
      </c>
      <c r="E67" s="308"/>
      <c r="F67" s="178">
        <v>15005.9</v>
      </c>
    </row>
    <row r="68" spans="1:6" x14ac:dyDescent="0.25">
      <c r="A68" s="92"/>
      <c r="B68" s="300">
        <v>45264</v>
      </c>
      <c r="C68" s="175" t="s">
        <v>702</v>
      </c>
      <c r="D68" s="36"/>
      <c r="E68" s="308"/>
      <c r="F68" s="178">
        <v>3000</v>
      </c>
    </row>
    <row r="69" spans="1:6" x14ac:dyDescent="0.25">
      <c r="A69" s="92"/>
      <c r="B69" s="300">
        <v>45269</v>
      </c>
      <c r="C69" s="175" t="s">
        <v>705</v>
      </c>
      <c r="D69" s="36" t="s">
        <v>256</v>
      </c>
      <c r="E69" s="307">
        <v>5000</v>
      </c>
      <c r="F69" s="280"/>
    </row>
    <row r="70" spans="1:6" ht="30" x14ac:dyDescent="0.25">
      <c r="A70" s="92"/>
      <c r="B70" s="300">
        <v>45269</v>
      </c>
      <c r="C70" s="175" t="s">
        <v>540</v>
      </c>
      <c r="D70" s="36" t="s">
        <v>451</v>
      </c>
      <c r="E70" s="307">
        <v>2000</v>
      </c>
      <c r="F70" s="280"/>
    </row>
    <row r="71" spans="1:6" ht="30" x14ac:dyDescent="0.25">
      <c r="A71" s="92"/>
      <c r="B71" s="300">
        <v>45269</v>
      </c>
      <c r="C71" s="175" t="s">
        <v>722</v>
      </c>
      <c r="D71" s="36" t="s">
        <v>744</v>
      </c>
      <c r="E71" s="307">
        <v>5000</v>
      </c>
      <c r="F71" s="280"/>
    </row>
    <row r="72" spans="1:6" x14ac:dyDescent="0.25">
      <c r="A72" s="92"/>
      <c r="B72" s="300">
        <v>45269</v>
      </c>
      <c r="C72" s="175" t="s">
        <v>549</v>
      </c>
      <c r="D72" s="36"/>
      <c r="E72" s="307">
        <v>2500</v>
      </c>
      <c r="F72" s="280"/>
    </row>
    <row r="73" spans="1:6" x14ac:dyDescent="0.25">
      <c r="A73" s="92"/>
      <c r="B73" s="300">
        <v>45269</v>
      </c>
      <c r="C73" s="175" t="s">
        <v>702</v>
      </c>
      <c r="D73" s="36"/>
      <c r="E73" s="280"/>
      <c r="F73" s="273">
        <v>14000</v>
      </c>
    </row>
    <row r="74" spans="1:6" x14ac:dyDescent="0.25">
      <c r="A74" s="92"/>
      <c r="B74" s="300">
        <v>44904</v>
      </c>
      <c r="C74" s="175" t="s">
        <v>721</v>
      </c>
      <c r="D74" s="36"/>
      <c r="E74" s="280"/>
      <c r="F74" s="273">
        <v>57870</v>
      </c>
    </row>
    <row r="75" spans="1:6" ht="30" x14ac:dyDescent="0.25">
      <c r="A75" s="92"/>
      <c r="B75" s="300">
        <v>45269</v>
      </c>
      <c r="C75" s="175" t="s">
        <v>720</v>
      </c>
      <c r="D75" s="36"/>
      <c r="E75" s="280"/>
      <c r="F75" s="178">
        <v>7705</v>
      </c>
    </row>
    <row r="76" spans="1:6" x14ac:dyDescent="0.25">
      <c r="A76" s="92"/>
      <c r="B76" s="300">
        <v>45274</v>
      </c>
      <c r="C76" s="175" t="s">
        <v>705</v>
      </c>
      <c r="D76" s="36"/>
      <c r="E76" s="280"/>
      <c r="F76" s="178">
        <v>1500</v>
      </c>
    </row>
    <row r="77" spans="1:6" x14ac:dyDescent="0.25">
      <c r="A77" s="92"/>
      <c r="B77" s="300">
        <v>45274</v>
      </c>
      <c r="C77" s="175" t="s">
        <v>735</v>
      </c>
      <c r="D77" s="36"/>
      <c r="E77" s="280"/>
      <c r="F77" s="273">
        <v>4572</v>
      </c>
    </row>
    <row r="78" spans="1:6" x14ac:dyDescent="0.25">
      <c r="A78" s="92"/>
      <c r="B78" s="300">
        <v>45274</v>
      </c>
      <c r="C78" s="175" t="s">
        <v>738</v>
      </c>
      <c r="D78" s="36" t="s">
        <v>743</v>
      </c>
      <c r="E78" s="307">
        <v>5000</v>
      </c>
      <c r="F78" s="280"/>
    </row>
    <row r="79" spans="1:6" x14ac:dyDescent="0.25">
      <c r="D79" s="313"/>
      <c r="E79" s="312" t="s">
        <v>869</v>
      </c>
      <c r="F79" s="312" t="s">
        <v>870</v>
      </c>
    </row>
    <row r="80" spans="1:6" x14ac:dyDescent="0.25">
      <c r="D80" s="317" t="s">
        <v>866</v>
      </c>
      <c r="E80" s="318">
        <f>SUM(E67:E78)</f>
        <v>19500</v>
      </c>
      <c r="F80" s="318">
        <f>SUM(F67:F78)</f>
        <v>103652.9</v>
      </c>
    </row>
    <row r="81" spans="1:6" ht="26.25" x14ac:dyDescent="0.4">
      <c r="D81" s="320" t="s">
        <v>891</v>
      </c>
      <c r="E81" s="93"/>
      <c r="F81" s="324">
        <f>F80-E80</f>
        <v>84152.9</v>
      </c>
    </row>
    <row r="82" spans="1:6" ht="26.25" x14ac:dyDescent="0.4">
      <c r="A82" s="306" t="s">
        <v>889</v>
      </c>
    </row>
    <row r="83" spans="1:6" ht="18.75" x14ac:dyDescent="0.3">
      <c r="A83" s="315"/>
      <c r="B83" s="315"/>
      <c r="C83" s="315"/>
      <c r="D83" s="315"/>
      <c r="E83" s="316" t="s">
        <v>890</v>
      </c>
      <c r="F83" s="316" t="s">
        <v>858</v>
      </c>
    </row>
    <row r="84" spans="1:6" x14ac:dyDescent="0.25">
      <c r="A84" s="92"/>
      <c r="B84" s="302">
        <v>45094</v>
      </c>
      <c r="C84" s="303" t="s">
        <v>669</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638</v>
      </c>
      <c r="D86" s="36"/>
      <c r="E86" s="310"/>
      <c r="F86" s="304">
        <v>19475.900000000001</v>
      </c>
    </row>
    <row r="87" spans="1:6" x14ac:dyDescent="0.25">
      <c r="A87" s="92"/>
      <c r="B87" s="302">
        <v>45157</v>
      </c>
      <c r="C87" s="303" t="s">
        <v>650</v>
      </c>
      <c r="D87" s="36" t="s">
        <v>659</v>
      </c>
      <c r="E87" s="305">
        <v>2000</v>
      </c>
      <c r="F87" s="280"/>
    </row>
    <row r="88" spans="1:6" x14ac:dyDescent="0.25">
      <c r="A88" s="92"/>
      <c r="B88" s="302">
        <v>45335</v>
      </c>
      <c r="C88" s="303" t="s">
        <v>844</v>
      </c>
      <c r="D88" s="36"/>
      <c r="E88" s="308"/>
      <c r="F88" s="304">
        <v>18290</v>
      </c>
    </row>
    <row r="89" spans="1:6" x14ac:dyDescent="0.25">
      <c r="A89" s="92"/>
      <c r="B89" s="302">
        <v>45336</v>
      </c>
      <c r="C89" s="303" t="s">
        <v>669</v>
      </c>
      <c r="D89" s="36" t="s">
        <v>392</v>
      </c>
      <c r="E89" s="305">
        <v>6000</v>
      </c>
      <c r="F89" s="280"/>
    </row>
    <row r="90" spans="1:6" x14ac:dyDescent="0.25">
      <c r="B90" s="302">
        <v>45342</v>
      </c>
      <c r="C90" s="367" t="s">
        <v>918</v>
      </c>
      <c r="D90" s="368" t="s">
        <v>919</v>
      </c>
      <c r="E90" s="305">
        <v>6000</v>
      </c>
    </row>
    <row r="91" spans="1:6" x14ac:dyDescent="0.25">
      <c r="B91" s="374">
        <v>45349</v>
      </c>
      <c r="C91" s="375" t="s">
        <v>312</v>
      </c>
      <c r="D91" s="368" t="s">
        <v>37</v>
      </c>
      <c r="E91" s="305">
        <v>3000</v>
      </c>
    </row>
    <row r="92" spans="1:6" x14ac:dyDescent="0.25">
      <c r="D92" s="222" t="s">
        <v>871</v>
      </c>
      <c r="E92" s="308">
        <f>SUM(E84:E91)</f>
        <v>26000</v>
      </c>
      <c r="F92" s="223">
        <f>SUM(F84:F90)</f>
        <v>37765.9</v>
      </c>
    </row>
    <row r="93" spans="1:6" ht="23.25" x14ac:dyDescent="0.35">
      <c r="D93" s="321" t="s">
        <v>891</v>
      </c>
      <c r="E93" s="322"/>
      <c r="F93" s="323">
        <f>F92-E92</f>
        <v>11765.900000000001</v>
      </c>
    </row>
    <row r="94" spans="1:6" ht="26.25" x14ac:dyDescent="0.4">
      <c r="A94" s="306" t="s">
        <v>106</v>
      </c>
    </row>
    <row r="96" spans="1:6" ht="18.75" x14ac:dyDescent="0.3">
      <c r="A96" s="315"/>
      <c r="B96" s="315"/>
      <c r="C96" s="315"/>
      <c r="D96" s="315"/>
      <c r="E96" s="316" t="s">
        <v>890</v>
      </c>
      <c r="F96" s="316" t="s">
        <v>858</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892</v>
      </c>
      <c r="E107" s="93"/>
      <c r="F107" s="323">
        <v>117392.49999999999</v>
      </c>
    </row>
    <row r="108" spans="1:6" ht="26.25" x14ac:dyDescent="0.4">
      <c r="A108" s="306" t="s">
        <v>245</v>
      </c>
    </row>
    <row r="109" spans="1:6" ht="18.75" x14ac:dyDescent="0.3">
      <c r="A109" s="315"/>
      <c r="B109" s="315"/>
      <c r="C109" s="315"/>
      <c r="D109" s="315"/>
      <c r="E109" s="316" t="s">
        <v>890</v>
      </c>
      <c r="F109" s="316" t="s">
        <v>858</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878</v>
      </c>
      <c r="E115" s="318">
        <f>SUM(E110:E113)</f>
        <v>5081</v>
      </c>
      <c r="F115" s="318"/>
    </row>
    <row r="118" spans="1:10" ht="26.25" x14ac:dyDescent="0.4">
      <c r="A118" s="306" t="s">
        <v>888</v>
      </c>
    </row>
    <row r="119" spans="1:10" ht="18.75" x14ac:dyDescent="0.3">
      <c r="A119" s="315"/>
      <c r="B119" s="315"/>
      <c r="C119" s="315"/>
      <c r="D119" s="315"/>
      <c r="E119" s="316" t="s">
        <v>890</v>
      </c>
      <c r="F119" s="316" t="s">
        <v>858</v>
      </c>
    </row>
    <row r="120" spans="1:10" ht="30" x14ac:dyDescent="0.25">
      <c r="A120" s="92"/>
      <c r="B120" s="301">
        <v>45304</v>
      </c>
      <c r="C120" s="149" t="s">
        <v>879</v>
      </c>
      <c r="D120" s="36" t="s">
        <v>29</v>
      </c>
      <c r="E120" s="184">
        <v>26000</v>
      </c>
      <c r="F120" s="280"/>
    </row>
    <row r="121" spans="1:10" ht="30" x14ac:dyDescent="0.25">
      <c r="A121" s="92"/>
      <c r="B121" s="301">
        <v>45304</v>
      </c>
      <c r="C121" s="149" t="s">
        <v>860</v>
      </c>
      <c r="D121" s="36" t="s">
        <v>68</v>
      </c>
      <c r="E121" s="184">
        <v>28000</v>
      </c>
      <c r="F121" s="280"/>
    </row>
    <row r="122" spans="1:10" x14ac:dyDescent="0.25">
      <c r="A122" s="92"/>
      <c r="B122" s="301">
        <v>45304</v>
      </c>
      <c r="C122" s="149" t="s">
        <v>828</v>
      </c>
      <c r="D122" s="36" t="s">
        <v>225</v>
      </c>
      <c r="E122" s="184">
        <v>50000</v>
      </c>
      <c r="F122" s="280"/>
    </row>
    <row r="123" spans="1:10" x14ac:dyDescent="0.25">
      <c r="A123" s="92"/>
      <c r="B123" s="301">
        <v>45305</v>
      </c>
      <c r="C123" s="149" t="s">
        <v>880</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823</v>
      </c>
      <c r="D125" s="36" t="s">
        <v>824</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828</v>
      </c>
      <c r="D127" s="36" t="s">
        <v>225</v>
      </c>
      <c r="E127" s="308"/>
      <c r="F127" s="299">
        <v>50000</v>
      </c>
    </row>
    <row r="128" spans="1:10" ht="45" x14ac:dyDescent="0.25">
      <c r="A128" s="92"/>
      <c r="B128" s="301">
        <v>45315</v>
      </c>
      <c r="C128" s="149" t="s">
        <v>834</v>
      </c>
      <c r="D128" s="36" t="s">
        <v>832</v>
      </c>
      <c r="E128" s="148">
        <v>10000</v>
      </c>
      <c r="F128" s="280"/>
      <c r="J128" s="19"/>
    </row>
    <row r="129" spans="1:6" x14ac:dyDescent="0.25">
      <c r="A129" s="92"/>
      <c r="B129" s="301">
        <v>45315</v>
      </c>
      <c r="C129" s="149" t="s">
        <v>894</v>
      </c>
      <c r="D129" s="36" t="s">
        <v>895</v>
      </c>
      <c r="E129" s="148">
        <v>9620</v>
      </c>
      <c r="F129" s="280"/>
    </row>
    <row r="130" spans="1:6" ht="30" x14ac:dyDescent="0.25">
      <c r="A130" s="92"/>
      <c r="B130" s="301">
        <v>45316</v>
      </c>
      <c r="C130" s="149" t="s">
        <v>36</v>
      </c>
      <c r="D130" s="36" t="s">
        <v>835</v>
      </c>
      <c r="E130" s="148">
        <v>5000</v>
      </c>
      <c r="F130" s="280"/>
    </row>
    <row r="131" spans="1:6" x14ac:dyDescent="0.25">
      <c r="A131" s="92"/>
      <c r="B131" s="301">
        <v>45341</v>
      </c>
      <c r="C131" s="149" t="s">
        <v>136</v>
      </c>
      <c r="D131" s="36" t="s">
        <v>591</v>
      </c>
      <c r="E131" s="308"/>
      <c r="F131" s="299">
        <v>28000</v>
      </c>
    </row>
    <row r="132" spans="1:6" ht="30" x14ac:dyDescent="0.25">
      <c r="A132" s="92"/>
      <c r="B132" s="301">
        <v>45341</v>
      </c>
      <c r="C132" s="149" t="s">
        <v>861</v>
      </c>
      <c r="D132" s="36" t="s">
        <v>29</v>
      </c>
      <c r="E132" s="308"/>
      <c r="F132" s="299">
        <v>6000</v>
      </c>
    </row>
    <row r="135" spans="1:6" x14ac:dyDescent="0.25">
      <c r="D135" s="319" t="s">
        <v>887</v>
      </c>
      <c r="E135" s="318">
        <f>SUM(E120:E132)</f>
        <v>158620</v>
      </c>
      <c r="F135" s="318">
        <f>SUM(F120:F132)</f>
        <v>178380</v>
      </c>
    </row>
    <row r="136" spans="1:6" ht="23.25" x14ac:dyDescent="0.35">
      <c r="D136" s="96" t="s">
        <v>891</v>
      </c>
      <c r="E136" s="274"/>
      <c r="F136" s="323">
        <f>F135-E135</f>
        <v>19760</v>
      </c>
    </row>
    <row r="138" spans="1:6" ht="26.25" x14ac:dyDescent="0.4">
      <c r="A138" s="306" t="s">
        <v>121</v>
      </c>
    </row>
    <row r="139" spans="1:6" ht="18.75" x14ac:dyDescent="0.3">
      <c r="A139" s="315"/>
      <c r="B139" s="315"/>
      <c r="C139" s="315"/>
      <c r="D139" s="315"/>
      <c r="E139" s="316" t="s">
        <v>890</v>
      </c>
      <c r="F139" s="316" t="s">
        <v>858</v>
      </c>
    </row>
    <row r="140" spans="1:6" x14ac:dyDescent="0.25">
      <c r="A140" s="92"/>
      <c r="B140" s="35">
        <v>45126</v>
      </c>
      <c r="C140" s="36" t="s">
        <v>639</v>
      </c>
      <c r="D140" s="92"/>
      <c r="E140" s="93"/>
      <c r="F140" s="39">
        <v>0.47</v>
      </c>
    </row>
    <row r="141" spans="1:6" x14ac:dyDescent="0.25">
      <c r="A141" s="92"/>
      <c r="B141" s="35">
        <v>45146</v>
      </c>
      <c r="C141" s="36" t="s">
        <v>645</v>
      </c>
      <c r="D141" s="92"/>
      <c r="E141" s="93"/>
      <c r="F141" s="39">
        <v>0.24</v>
      </c>
    </row>
    <row r="142" spans="1:6" x14ac:dyDescent="0.25">
      <c r="A142" s="92"/>
      <c r="B142" s="35">
        <v>45161</v>
      </c>
      <c r="C142" s="36" t="s">
        <v>651</v>
      </c>
      <c r="D142" s="92"/>
      <c r="E142" s="93"/>
      <c r="F142" s="39">
        <v>0.24</v>
      </c>
    </row>
    <row r="143" spans="1:6" x14ac:dyDescent="0.25">
      <c r="A143" s="92"/>
      <c r="B143" s="35">
        <v>45183</v>
      </c>
      <c r="C143" s="36" t="s">
        <v>673</v>
      </c>
      <c r="D143" s="92"/>
      <c r="E143" s="93"/>
      <c r="F143" s="39">
        <v>0.24</v>
      </c>
    </row>
    <row r="144" spans="1:6" x14ac:dyDescent="0.25">
      <c r="A144" s="92"/>
      <c r="B144" s="35">
        <v>45198</v>
      </c>
      <c r="C144" s="36" t="s">
        <v>675</v>
      </c>
      <c r="D144" s="92"/>
      <c r="E144" s="93"/>
      <c r="F144" s="39">
        <v>0.24</v>
      </c>
    </row>
    <row r="145" spans="1:6" x14ac:dyDescent="0.25">
      <c r="A145" s="92"/>
      <c r="B145" s="35">
        <v>45272</v>
      </c>
      <c r="C145" s="36" t="s">
        <v>731</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839</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839</v>
      </c>
      <c r="D154" s="92"/>
      <c r="E154" s="93"/>
      <c r="F154" s="39">
        <v>0.94</v>
      </c>
    </row>
    <row r="156" spans="1:6" ht="23.25" x14ac:dyDescent="0.35">
      <c r="D156" s="96" t="s">
        <v>893</v>
      </c>
      <c r="E156" s="274"/>
      <c r="F156" s="323">
        <f>SUM(F140:F154)</f>
        <v>52.879999999999995</v>
      </c>
    </row>
    <row r="158" spans="1:6" ht="26.25" x14ac:dyDescent="0.4">
      <c r="A158" s="306" t="s">
        <v>896</v>
      </c>
    </row>
    <row r="159" spans="1:6" ht="18.75" x14ac:dyDescent="0.3">
      <c r="A159" s="315"/>
      <c r="B159" s="315"/>
      <c r="C159" s="315"/>
      <c r="D159" s="315"/>
      <c r="E159" s="316" t="s">
        <v>890</v>
      </c>
      <c r="F159" s="316" t="s">
        <v>858</v>
      </c>
    </row>
    <row r="160" spans="1:6" x14ac:dyDescent="0.25">
      <c r="A160" s="92"/>
      <c r="B160" s="326">
        <v>45198</v>
      </c>
      <c r="C160" s="327" t="s">
        <v>676</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847</v>
      </c>
      <c r="D162" s="92"/>
      <c r="E162" s="93"/>
      <c r="F162" s="328">
        <v>2000</v>
      </c>
    </row>
    <row r="163" spans="1:6" x14ac:dyDescent="0.25">
      <c r="E163" s="19">
        <v>1000</v>
      </c>
      <c r="F163" s="19">
        <v>2000</v>
      </c>
    </row>
    <row r="164" spans="1:6" ht="23.25" x14ac:dyDescent="0.35">
      <c r="D164" s="96" t="s">
        <v>893</v>
      </c>
      <c r="E164" s="274"/>
      <c r="F164" s="323">
        <v>2000</v>
      </c>
    </row>
  </sheetData>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workbookViewId="0">
      <selection activeCell="D33" sqref="D33"/>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716</v>
      </c>
    </row>
    <row r="3" spans="1:5" x14ac:dyDescent="0.25">
      <c r="A3" s="92">
        <v>1</v>
      </c>
      <c r="B3" s="169" t="s">
        <v>706</v>
      </c>
      <c r="C3" s="280">
        <v>15005.9</v>
      </c>
      <c r="D3" s="92" t="s">
        <v>715</v>
      </c>
      <c r="E3" s="309"/>
    </row>
    <row r="4" spans="1:5" x14ac:dyDescent="0.25">
      <c r="A4" s="92">
        <v>2</v>
      </c>
      <c r="B4" s="169" t="s">
        <v>707</v>
      </c>
      <c r="C4" s="280">
        <v>57870</v>
      </c>
      <c r="D4" s="92" t="s">
        <v>710</v>
      </c>
      <c r="E4" s="309"/>
    </row>
    <row r="5" spans="1:5" x14ac:dyDescent="0.25">
      <c r="A5" s="92">
        <v>3</v>
      </c>
      <c r="B5" s="169" t="s">
        <v>708</v>
      </c>
      <c r="C5" s="331">
        <v>335</v>
      </c>
      <c r="D5" s="92" t="s">
        <v>712</v>
      </c>
      <c r="E5" s="309"/>
    </row>
    <row r="6" spans="1:5" x14ac:dyDescent="0.25">
      <c r="A6" s="92">
        <v>4</v>
      </c>
      <c r="B6" s="169" t="s">
        <v>709</v>
      </c>
      <c r="C6" s="331">
        <v>165</v>
      </c>
      <c r="D6" s="92" t="s">
        <v>712</v>
      </c>
      <c r="E6" s="309"/>
    </row>
    <row r="7" spans="1:5" x14ac:dyDescent="0.25">
      <c r="A7" s="92">
        <v>5</v>
      </c>
      <c r="B7" s="169" t="s">
        <v>711</v>
      </c>
      <c r="C7" s="331">
        <v>4200</v>
      </c>
      <c r="D7" s="92" t="s">
        <v>712</v>
      </c>
      <c r="E7" s="309"/>
    </row>
    <row r="8" spans="1:5" x14ac:dyDescent="0.25">
      <c r="A8" s="92">
        <v>6</v>
      </c>
      <c r="B8" s="169" t="s">
        <v>713</v>
      </c>
      <c r="C8" s="331">
        <v>1000</v>
      </c>
      <c r="D8" s="92" t="s">
        <v>712</v>
      </c>
      <c r="E8" s="309"/>
    </row>
    <row r="9" spans="1:5" x14ac:dyDescent="0.25">
      <c r="A9" s="92">
        <v>7</v>
      </c>
      <c r="B9" s="169" t="s">
        <v>714</v>
      </c>
      <c r="C9" s="331">
        <v>500</v>
      </c>
      <c r="D9" s="92" t="s">
        <v>712</v>
      </c>
      <c r="E9" s="309"/>
    </row>
    <row r="10" spans="1:5" ht="30" x14ac:dyDescent="0.25">
      <c r="A10" s="271">
        <v>8</v>
      </c>
      <c r="B10" s="272" t="s">
        <v>717</v>
      </c>
      <c r="C10" s="280">
        <v>3000</v>
      </c>
      <c r="D10" s="271" t="s">
        <v>710</v>
      </c>
      <c r="E10" s="309"/>
    </row>
    <row r="11" spans="1:5" ht="30" x14ac:dyDescent="0.25">
      <c r="A11" s="271">
        <v>9</v>
      </c>
      <c r="B11" s="272" t="s">
        <v>718</v>
      </c>
      <c r="C11" s="280">
        <v>14000</v>
      </c>
      <c r="D11" s="271" t="s">
        <v>710</v>
      </c>
      <c r="E11" s="309"/>
    </row>
    <row r="12" spans="1:5" x14ac:dyDescent="0.25">
      <c r="A12" s="271">
        <v>10</v>
      </c>
      <c r="B12" s="272" t="s">
        <v>723</v>
      </c>
      <c r="C12" s="331">
        <v>400</v>
      </c>
      <c r="D12" s="271" t="s">
        <v>11</v>
      </c>
      <c r="E12" s="309"/>
    </row>
    <row r="13" spans="1:5" x14ac:dyDescent="0.25">
      <c r="A13" s="271">
        <v>11</v>
      </c>
      <c r="B13" s="272" t="s">
        <v>724</v>
      </c>
      <c r="C13" s="331">
        <v>600</v>
      </c>
      <c r="D13" s="271" t="s">
        <v>725</v>
      </c>
      <c r="E13" s="309"/>
    </row>
    <row r="14" spans="1:5" x14ac:dyDescent="0.25">
      <c r="A14" s="271">
        <v>12</v>
      </c>
      <c r="B14" s="272" t="s">
        <v>726</v>
      </c>
      <c r="C14" s="331">
        <v>95</v>
      </c>
      <c r="D14" s="271" t="s">
        <v>725</v>
      </c>
      <c r="E14" s="309"/>
    </row>
    <row r="15" spans="1:5" x14ac:dyDescent="0.25">
      <c r="A15" s="271">
        <v>13</v>
      </c>
      <c r="B15" s="272" t="s">
        <v>727</v>
      </c>
      <c r="C15" s="331">
        <v>410</v>
      </c>
      <c r="D15" s="271" t="s">
        <v>725</v>
      </c>
      <c r="E15" s="309"/>
    </row>
    <row r="16" spans="1:5" x14ac:dyDescent="0.25">
      <c r="A16" s="92">
        <v>14</v>
      </c>
      <c r="B16" s="169" t="s">
        <v>728</v>
      </c>
      <c r="C16" s="93">
        <v>1500</v>
      </c>
      <c r="D16" s="92" t="s">
        <v>867</v>
      </c>
      <c r="E16" s="309"/>
    </row>
    <row r="17" spans="1:5" x14ac:dyDescent="0.25">
      <c r="A17" s="92">
        <v>15</v>
      </c>
      <c r="B17" s="169" t="s">
        <v>736</v>
      </c>
      <c r="C17" s="93">
        <v>4572</v>
      </c>
      <c r="D17" s="92" t="s">
        <v>513</v>
      </c>
      <c r="E17" s="309"/>
    </row>
    <row r="18" spans="1:5" x14ac:dyDescent="0.25">
      <c r="A18" s="92"/>
      <c r="B18" s="169" t="s">
        <v>719</v>
      </c>
      <c r="C18" s="93">
        <f>SUM(C3:C17)</f>
        <v>103652.9</v>
      </c>
      <c r="D18" s="92"/>
    </row>
    <row r="20" spans="1:5" x14ac:dyDescent="0.25">
      <c r="B20" s="165" t="s">
        <v>742</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738</v>
      </c>
      <c r="C24" s="93">
        <v>5000</v>
      </c>
      <c r="D24" s="92"/>
    </row>
    <row r="25" spans="1:5" x14ac:dyDescent="0.25">
      <c r="A25" s="276">
        <v>4</v>
      </c>
      <c r="B25" s="275" t="s">
        <v>747</v>
      </c>
      <c r="C25" s="93">
        <v>5000</v>
      </c>
      <c r="D25" s="92"/>
    </row>
    <row r="26" spans="1:5" x14ac:dyDescent="0.25">
      <c r="A26" s="276">
        <v>5</v>
      </c>
      <c r="B26" s="275" t="s">
        <v>748</v>
      </c>
      <c r="C26" s="93">
        <v>2500</v>
      </c>
      <c r="D26" s="92"/>
    </row>
    <row r="27" spans="1:5" x14ac:dyDescent="0.25">
      <c r="B27" s="275"/>
      <c r="C27" s="93">
        <f>SUM(C22:C26)</f>
        <v>19500</v>
      </c>
      <c r="D27" s="92"/>
    </row>
    <row r="30" spans="1:5" x14ac:dyDescent="0.25">
      <c r="B30" s="165" t="s">
        <v>868</v>
      </c>
      <c r="C30" s="330">
        <f>SUM(C5,C6,C7,C8,C9,C12,C13,C14,C15)</f>
        <v>7705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1124</v>
      </c>
      <c r="B1" s="169"/>
      <c r="C1" s="92"/>
      <c r="D1" s="92"/>
      <c r="E1" s="92"/>
      <c r="F1" s="92"/>
      <c r="G1" s="169"/>
    </row>
    <row r="2" spans="1:7" x14ac:dyDescent="0.25">
      <c r="A2" s="92"/>
      <c r="B2" s="92"/>
      <c r="C2" s="608" t="s">
        <v>1126</v>
      </c>
      <c r="D2" s="609"/>
      <c r="E2" s="610" t="s">
        <v>1128</v>
      </c>
      <c r="F2" s="611"/>
      <c r="G2" s="169" t="s">
        <v>1125</v>
      </c>
    </row>
    <row r="3" spans="1:7" x14ac:dyDescent="0.25">
      <c r="A3" s="92"/>
      <c r="B3" s="92"/>
      <c r="C3" s="433" t="s">
        <v>113</v>
      </c>
      <c r="D3" s="434" t="s">
        <v>1127</v>
      </c>
      <c r="E3" s="433" t="s">
        <v>1149</v>
      </c>
      <c r="F3" s="434" t="s">
        <v>1127</v>
      </c>
      <c r="G3" s="169"/>
    </row>
    <row r="4" spans="1:7" ht="30" x14ac:dyDescent="0.25">
      <c r="A4" s="92"/>
      <c r="B4" s="428">
        <v>45623</v>
      </c>
      <c r="C4" s="93"/>
      <c r="D4" s="93"/>
      <c r="E4" s="93"/>
      <c r="F4" s="93">
        <v>15000</v>
      </c>
      <c r="G4" s="169" t="s">
        <v>1129</v>
      </c>
    </row>
    <row r="5" spans="1:7" x14ac:dyDescent="0.25">
      <c r="A5" s="92"/>
      <c r="B5" s="428">
        <v>45630</v>
      </c>
      <c r="C5" s="93"/>
      <c r="D5" s="93"/>
      <c r="E5" s="93">
        <v>5000</v>
      </c>
      <c r="F5" s="93"/>
      <c r="G5" s="169" t="s">
        <v>1157</v>
      </c>
    </row>
    <row r="6" spans="1:7" x14ac:dyDescent="0.25">
      <c r="A6" s="92"/>
      <c r="B6" s="428">
        <v>45639</v>
      </c>
      <c r="C6" s="93"/>
      <c r="D6" s="93"/>
      <c r="E6" s="93">
        <v>5000</v>
      </c>
      <c r="F6" s="93"/>
      <c r="G6" s="169" t="s">
        <v>1158</v>
      </c>
    </row>
    <row r="7" spans="1:7" x14ac:dyDescent="0.25">
      <c r="A7" s="92"/>
      <c r="B7" s="428">
        <v>45639</v>
      </c>
      <c r="C7" s="93"/>
      <c r="D7" s="93"/>
      <c r="E7" s="93">
        <v>5000</v>
      </c>
      <c r="F7" s="93"/>
      <c r="G7" s="169" t="s">
        <v>1159</v>
      </c>
    </row>
    <row r="8" spans="1:7" x14ac:dyDescent="0.25">
      <c r="A8" s="92"/>
      <c r="B8" s="428">
        <v>45644</v>
      </c>
      <c r="C8" s="93"/>
      <c r="D8" s="93"/>
      <c r="E8" s="93">
        <v>5000</v>
      </c>
      <c r="F8" s="93"/>
      <c r="G8" s="169" t="s">
        <v>1160</v>
      </c>
    </row>
    <row r="9" spans="1:7" x14ac:dyDescent="0.25">
      <c r="A9" s="92"/>
      <c r="B9" s="428">
        <v>45645</v>
      </c>
      <c r="C9" s="93"/>
      <c r="D9" s="93"/>
      <c r="E9" s="93">
        <v>5000</v>
      </c>
      <c r="F9" s="93"/>
      <c r="G9" s="169" t="s">
        <v>1161</v>
      </c>
    </row>
    <row r="10" spans="1:7" ht="30" x14ac:dyDescent="0.25">
      <c r="A10" s="92"/>
      <c r="B10" s="428">
        <v>45645</v>
      </c>
      <c r="C10" s="93"/>
      <c r="D10" s="93">
        <v>1920</v>
      </c>
      <c r="E10" s="93"/>
      <c r="F10" s="93"/>
      <c r="G10" s="169" t="s">
        <v>1137</v>
      </c>
    </row>
    <row r="11" spans="1:7" ht="30" x14ac:dyDescent="0.25">
      <c r="A11" s="92"/>
      <c r="B11" s="428">
        <v>45645</v>
      </c>
      <c r="C11" s="93"/>
      <c r="D11" s="93">
        <v>800</v>
      </c>
      <c r="E11" s="93"/>
      <c r="F11" s="93"/>
      <c r="G11" s="169" t="s">
        <v>1138</v>
      </c>
    </row>
    <row r="12" spans="1:7" ht="30" x14ac:dyDescent="0.25">
      <c r="A12" s="92"/>
      <c r="B12" s="428">
        <v>45645</v>
      </c>
      <c r="C12" s="93"/>
      <c r="D12" s="93">
        <v>2550</v>
      </c>
      <c r="E12" s="93"/>
      <c r="F12" s="93"/>
      <c r="G12" s="169" t="s">
        <v>1139</v>
      </c>
    </row>
    <row r="13" spans="1:7" x14ac:dyDescent="0.25">
      <c r="A13" s="92"/>
      <c r="B13" s="428">
        <v>45645</v>
      </c>
      <c r="C13" s="93"/>
      <c r="D13" s="93">
        <v>500</v>
      </c>
      <c r="E13" s="93"/>
      <c r="F13" s="93"/>
      <c r="G13" s="169" t="s">
        <v>1140</v>
      </c>
    </row>
    <row r="14" spans="1:7" x14ac:dyDescent="0.25">
      <c r="A14" s="92"/>
      <c r="B14" s="428">
        <v>45646</v>
      </c>
      <c r="C14" s="93"/>
      <c r="D14" s="93"/>
      <c r="E14" s="93">
        <v>3000</v>
      </c>
      <c r="F14" s="93"/>
      <c r="G14" s="169" t="s">
        <v>1162</v>
      </c>
    </row>
    <row r="15" spans="1:7" x14ac:dyDescent="0.25">
      <c r="A15" s="92"/>
      <c r="B15" s="428">
        <v>45646</v>
      </c>
      <c r="C15" s="93"/>
      <c r="D15" s="93"/>
      <c r="E15" s="93">
        <v>5000</v>
      </c>
      <c r="F15" s="93"/>
      <c r="G15" s="169" t="s">
        <v>1163</v>
      </c>
    </row>
    <row r="16" spans="1:7" ht="30" x14ac:dyDescent="0.25">
      <c r="A16" s="92"/>
      <c r="B16" s="428">
        <v>45647</v>
      </c>
      <c r="C16" s="93"/>
      <c r="D16" s="93">
        <v>4400</v>
      </c>
      <c r="E16" s="93"/>
      <c r="F16" s="93"/>
      <c r="G16" s="169" t="s">
        <v>1130</v>
      </c>
    </row>
    <row r="17" spans="1:8" ht="30" x14ac:dyDescent="0.25">
      <c r="A17" s="92"/>
      <c r="B17" s="428">
        <v>45647</v>
      </c>
      <c r="C17" s="93"/>
      <c r="D17" s="93">
        <v>1300</v>
      </c>
      <c r="E17" s="93"/>
      <c r="F17" s="93"/>
      <c r="G17" s="169" t="s">
        <v>1131</v>
      </c>
    </row>
    <row r="18" spans="1:8" ht="30" x14ac:dyDescent="0.25">
      <c r="A18" s="92"/>
      <c r="B18" s="428">
        <v>45647</v>
      </c>
      <c r="C18" s="93"/>
      <c r="D18" s="93">
        <v>1500</v>
      </c>
      <c r="E18" s="93"/>
      <c r="F18" s="93"/>
      <c r="G18" s="169" t="s">
        <v>1132</v>
      </c>
    </row>
    <row r="19" spans="1:8" x14ac:dyDescent="0.25">
      <c r="A19" s="92"/>
      <c r="B19" s="428">
        <v>45647</v>
      </c>
      <c r="C19" s="93"/>
      <c r="D19" s="93">
        <v>72</v>
      </c>
      <c r="E19" s="93"/>
      <c r="F19" s="93"/>
      <c r="G19" s="169" t="s">
        <v>1133</v>
      </c>
    </row>
    <row r="20" spans="1:8" ht="30" x14ac:dyDescent="0.25">
      <c r="A20" s="92"/>
      <c r="B20" s="428">
        <v>45647</v>
      </c>
      <c r="C20" s="93"/>
      <c r="D20" s="93">
        <v>7500</v>
      </c>
      <c r="E20" s="93"/>
      <c r="F20" s="93"/>
      <c r="G20" s="169" t="s">
        <v>1147</v>
      </c>
    </row>
    <row r="21" spans="1:8" x14ac:dyDescent="0.25">
      <c r="A21" s="92"/>
      <c r="B21" s="428">
        <v>45647</v>
      </c>
      <c r="C21" s="93"/>
      <c r="D21" s="429">
        <v>1600</v>
      </c>
      <c r="E21" s="93"/>
      <c r="F21" s="93"/>
      <c r="G21" s="169" t="s">
        <v>1134</v>
      </c>
      <c r="H21" s="606" t="s">
        <v>1154</v>
      </c>
    </row>
    <row r="22" spans="1:8" x14ac:dyDescent="0.25">
      <c r="A22" s="92"/>
      <c r="B22" s="428"/>
      <c r="C22" s="93"/>
      <c r="D22" s="429">
        <v>500</v>
      </c>
      <c r="E22" s="93"/>
      <c r="F22" s="93"/>
      <c r="G22" s="169" t="s">
        <v>1135</v>
      </c>
      <c r="H22" s="607"/>
    </row>
    <row r="23" spans="1:8" x14ac:dyDescent="0.25">
      <c r="A23" s="92"/>
      <c r="B23" s="428"/>
      <c r="C23" s="92"/>
      <c r="D23" s="429">
        <v>700</v>
      </c>
      <c r="E23" s="92"/>
      <c r="F23" s="92"/>
      <c r="G23" s="169" t="s">
        <v>1136</v>
      </c>
      <c r="H23" s="607"/>
    </row>
    <row r="24" spans="1:8" x14ac:dyDescent="0.25">
      <c r="A24" s="92"/>
      <c r="B24" s="428"/>
      <c r="C24" s="92"/>
      <c r="D24" s="429">
        <v>450</v>
      </c>
      <c r="E24" s="92"/>
      <c r="F24" s="92"/>
      <c r="G24" s="169" t="s">
        <v>1141</v>
      </c>
      <c r="H24" s="607"/>
    </row>
    <row r="25" spans="1:8" x14ac:dyDescent="0.25">
      <c r="A25" s="92"/>
      <c r="B25" s="428"/>
      <c r="C25" s="92"/>
      <c r="D25" s="429">
        <v>325</v>
      </c>
      <c r="E25" s="92"/>
      <c r="F25" s="92"/>
      <c r="G25" s="169" t="s">
        <v>1142</v>
      </c>
      <c r="H25" s="607"/>
    </row>
    <row r="26" spans="1:8" x14ac:dyDescent="0.25">
      <c r="A26" s="92"/>
      <c r="B26" s="428"/>
      <c r="C26" s="92"/>
      <c r="D26" s="429">
        <v>110</v>
      </c>
      <c r="E26" s="92"/>
      <c r="F26" s="92"/>
      <c r="G26" s="169" t="s">
        <v>1143</v>
      </c>
      <c r="H26" s="607"/>
    </row>
    <row r="27" spans="1:8" x14ac:dyDescent="0.25">
      <c r="A27" s="92"/>
      <c r="B27" s="428"/>
      <c r="C27" s="92"/>
      <c r="D27" s="429">
        <v>25</v>
      </c>
      <c r="E27" s="92"/>
      <c r="F27" s="92"/>
      <c r="G27" s="169" t="s">
        <v>1144</v>
      </c>
      <c r="H27" s="607"/>
    </row>
    <row r="28" spans="1:8" x14ac:dyDescent="0.25">
      <c r="A28" s="92"/>
      <c r="B28" s="428"/>
      <c r="C28" s="92"/>
      <c r="D28" s="429">
        <v>300</v>
      </c>
      <c r="E28" s="92"/>
      <c r="F28" s="92"/>
      <c r="G28" s="169" t="s">
        <v>1145</v>
      </c>
      <c r="H28" s="607"/>
    </row>
    <row r="29" spans="1:8" x14ac:dyDescent="0.25">
      <c r="A29" s="92"/>
      <c r="B29" s="428"/>
      <c r="C29" s="92"/>
      <c r="D29" s="429">
        <v>2000</v>
      </c>
      <c r="E29" s="92"/>
      <c r="F29" s="92"/>
      <c r="G29" s="169" t="s">
        <v>1146</v>
      </c>
      <c r="H29" s="607"/>
    </row>
    <row r="30" spans="1:8" x14ac:dyDescent="0.25">
      <c r="A30" s="92"/>
      <c r="B30" s="428">
        <v>45648</v>
      </c>
      <c r="C30" s="92"/>
      <c r="D30" s="92"/>
      <c r="E30" s="92"/>
      <c r="F30" s="93">
        <v>51964</v>
      </c>
      <c r="G30" s="169" t="s">
        <v>1148</v>
      </c>
      <c r="H30" s="607"/>
    </row>
    <row r="31" spans="1:8" x14ac:dyDescent="0.25">
      <c r="B31" s="424"/>
    </row>
    <row r="32" spans="1:8" x14ac:dyDescent="0.25">
      <c r="B32" s="424"/>
      <c r="D32" s="217">
        <f>SUM(D10:D29)</f>
        <v>26552</v>
      </c>
      <c r="E32" s="331">
        <f>SUM(E5:E29)</f>
        <v>33000</v>
      </c>
      <c r="F32" s="425">
        <f>SUM(F4:F30)</f>
        <v>66964</v>
      </c>
    </row>
    <row r="33" spans="2:6" ht="30" x14ac:dyDescent="0.25">
      <c r="B33" s="424"/>
      <c r="D33" s="430" t="s">
        <v>1150</v>
      </c>
      <c r="E33" s="431" t="s">
        <v>1152</v>
      </c>
      <c r="F33" s="432" t="s">
        <v>1151</v>
      </c>
    </row>
    <row r="34" spans="2:6" x14ac:dyDescent="0.25">
      <c r="B34" s="424"/>
    </row>
    <row r="35" spans="2:6" x14ac:dyDescent="0.25">
      <c r="B35" s="424"/>
      <c r="D35" s="216" t="s">
        <v>115</v>
      </c>
      <c r="E35" s="217">
        <f>E32</f>
        <v>33000</v>
      </c>
    </row>
    <row r="36" spans="2:6" x14ac:dyDescent="0.25">
      <c r="D36" s="216" t="s">
        <v>719</v>
      </c>
      <c r="E36" s="217">
        <f>D32+F32</f>
        <v>93516</v>
      </c>
    </row>
    <row r="37" spans="2:6" x14ac:dyDescent="0.25">
      <c r="D37" s="426" t="s">
        <v>1153</v>
      </c>
      <c r="E37" s="427">
        <f>E36-E35</f>
        <v>60516</v>
      </c>
    </row>
  </sheetData>
  <mergeCells count="3">
    <mergeCell ref="H21:H30"/>
    <mergeCell ref="C2:D2"/>
    <mergeCell ref="E2:F2"/>
  </mergeCells>
  <pageMargins left="0.7" right="0.7" top="0.75" bottom="0.75" header="0.3" footer="0.3"/>
  <pageSetup paperSize="9" orientation="portrait"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1213</v>
      </c>
      <c r="B1" s="452"/>
      <c r="C1" s="93"/>
      <c r="D1" s="93"/>
      <c r="E1" s="93"/>
      <c r="F1" s="93"/>
      <c r="G1" s="169"/>
    </row>
    <row r="2" spans="1:7" x14ac:dyDescent="0.25">
      <c r="A2" s="92"/>
      <c r="B2" s="452"/>
      <c r="C2" s="612" t="s">
        <v>1126</v>
      </c>
      <c r="D2" s="612"/>
      <c r="E2" s="613" t="s">
        <v>1128</v>
      </c>
      <c r="F2" s="613"/>
      <c r="G2" s="169" t="s">
        <v>1125</v>
      </c>
    </row>
    <row r="3" spans="1:7" x14ac:dyDescent="0.25">
      <c r="A3" s="92"/>
      <c r="B3" s="452"/>
      <c r="C3" s="450" t="s">
        <v>1220</v>
      </c>
      <c r="D3" s="451" t="s">
        <v>1219</v>
      </c>
      <c r="E3" s="450" t="s">
        <v>1180</v>
      </c>
      <c r="F3" s="451" t="s">
        <v>1181</v>
      </c>
      <c r="G3" s="169"/>
    </row>
    <row r="4" spans="1:7" x14ac:dyDescent="0.25">
      <c r="A4" s="92">
        <v>1</v>
      </c>
      <c r="B4" s="452">
        <v>45667</v>
      </c>
      <c r="C4" s="93">
        <v>50000</v>
      </c>
      <c r="D4" s="93"/>
      <c r="E4" s="93"/>
      <c r="F4" s="93">
        <v>50000</v>
      </c>
      <c r="G4" s="169" t="s">
        <v>1182</v>
      </c>
    </row>
    <row r="5" spans="1:7" x14ac:dyDescent="0.25">
      <c r="A5" s="92"/>
      <c r="B5" s="452">
        <v>45673</v>
      </c>
      <c r="C5" s="93">
        <v>10250</v>
      </c>
      <c r="D5" s="93"/>
      <c r="E5" s="93"/>
      <c r="F5" s="93"/>
      <c r="G5" s="169" t="s">
        <v>1217</v>
      </c>
    </row>
    <row r="6" spans="1:7" x14ac:dyDescent="0.25">
      <c r="A6" s="92"/>
      <c r="B6" s="452">
        <v>45673</v>
      </c>
      <c r="C6" s="93">
        <v>20000</v>
      </c>
      <c r="D6" s="93"/>
      <c r="E6" s="93"/>
      <c r="F6" s="93"/>
      <c r="G6" s="169" t="s">
        <v>1214</v>
      </c>
    </row>
    <row r="7" spans="1:7" x14ac:dyDescent="0.25">
      <c r="A7" s="92"/>
      <c r="B7" s="452">
        <v>45673</v>
      </c>
      <c r="C7" s="93">
        <f>18785-6000</f>
        <v>12785</v>
      </c>
      <c r="D7" s="93"/>
      <c r="E7" s="93"/>
      <c r="F7" s="93"/>
      <c r="G7" s="169" t="s">
        <v>1218</v>
      </c>
    </row>
    <row r="8" spans="1:7" x14ac:dyDescent="0.25">
      <c r="A8" s="92"/>
      <c r="B8" s="452"/>
      <c r="C8" s="318"/>
      <c r="D8" s="93"/>
      <c r="E8" s="93"/>
      <c r="F8" s="93"/>
      <c r="G8" s="169"/>
    </row>
    <row r="9" spans="1:7" x14ac:dyDescent="0.25">
      <c r="A9" s="92"/>
      <c r="B9" s="452">
        <v>45673</v>
      </c>
      <c r="C9" s="93"/>
      <c r="D9" s="93">
        <v>2000</v>
      </c>
      <c r="E9" s="93"/>
      <c r="F9" s="93"/>
      <c r="G9" s="169" t="s">
        <v>1183</v>
      </c>
    </row>
    <row r="10" spans="1:7" x14ac:dyDescent="0.25">
      <c r="A10" s="92"/>
      <c r="B10" s="452">
        <v>45673</v>
      </c>
      <c r="C10" s="93"/>
      <c r="D10" s="93">
        <v>1200</v>
      </c>
      <c r="E10" s="93"/>
      <c r="F10" s="93"/>
      <c r="G10" s="169" t="s">
        <v>1184</v>
      </c>
    </row>
    <row r="11" spans="1:7" x14ac:dyDescent="0.25">
      <c r="A11" s="92"/>
      <c r="B11" s="452">
        <v>45673</v>
      </c>
      <c r="C11" s="93"/>
      <c r="D11" s="93">
        <v>3100</v>
      </c>
      <c r="E11" s="93"/>
      <c r="F11" s="93"/>
      <c r="G11" s="169" t="s">
        <v>1185</v>
      </c>
    </row>
    <row r="12" spans="1:7" x14ac:dyDescent="0.25">
      <c r="A12" s="92"/>
      <c r="B12" s="452">
        <v>45673</v>
      </c>
      <c r="C12" s="93"/>
      <c r="D12" s="93">
        <v>800</v>
      </c>
      <c r="E12" s="93"/>
      <c r="F12" s="93"/>
      <c r="G12" s="169" t="s">
        <v>1211</v>
      </c>
    </row>
    <row r="13" spans="1:7" x14ac:dyDescent="0.25">
      <c r="A13" s="92"/>
      <c r="B13" s="452">
        <v>45673</v>
      </c>
      <c r="C13" s="93"/>
      <c r="D13" s="93">
        <v>600</v>
      </c>
      <c r="E13" s="93"/>
      <c r="F13" s="93"/>
      <c r="G13" s="169" t="s">
        <v>1136</v>
      </c>
    </row>
    <row r="14" spans="1:7" x14ac:dyDescent="0.25">
      <c r="A14" s="92"/>
      <c r="B14" s="452">
        <v>45673</v>
      </c>
      <c r="C14" s="93"/>
      <c r="D14" s="93">
        <v>900</v>
      </c>
      <c r="E14" s="93"/>
      <c r="F14" s="93"/>
      <c r="G14" s="169" t="s">
        <v>1186</v>
      </c>
    </row>
    <row r="15" spans="1:7" x14ac:dyDescent="0.25">
      <c r="A15" s="92"/>
      <c r="B15" s="452">
        <v>45673</v>
      </c>
      <c r="C15" s="93"/>
      <c r="D15" s="93">
        <v>500</v>
      </c>
      <c r="E15" s="93"/>
      <c r="F15" s="93"/>
      <c r="G15" s="169" t="s">
        <v>1187</v>
      </c>
    </row>
    <row r="16" spans="1:7" x14ac:dyDescent="0.25">
      <c r="A16" s="92"/>
      <c r="B16" s="452">
        <v>45673</v>
      </c>
      <c r="C16" s="93"/>
      <c r="D16" s="93">
        <v>21000</v>
      </c>
      <c r="E16" s="93"/>
      <c r="F16" s="93"/>
      <c r="G16" s="169" t="s">
        <v>1188</v>
      </c>
    </row>
    <row r="17" spans="1:7" x14ac:dyDescent="0.25">
      <c r="A17" s="92"/>
      <c r="B17" s="452">
        <v>45673</v>
      </c>
      <c r="C17" s="93"/>
      <c r="D17" s="93">
        <v>20000</v>
      </c>
      <c r="E17" s="93"/>
      <c r="F17" s="93"/>
      <c r="G17" s="169" t="s">
        <v>1189</v>
      </c>
    </row>
    <row r="18" spans="1:7" x14ac:dyDescent="0.25">
      <c r="A18" s="92"/>
      <c r="B18" s="452">
        <v>45673</v>
      </c>
      <c r="C18" s="93"/>
      <c r="D18" s="93">
        <v>300</v>
      </c>
      <c r="E18" s="93"/>
      <c r="F18" s="93"/>
      <c r="G18" s="169" t="s">
        <v>1190</v>
      </c>
    </row>
    <row r="19" spans="1:7" x14ac:dyDescent="0.25">
      <c r="A19" s="92"/>
      <c r="B19" s="452">
        <v>45673</v>
      </c>
      <c r="C19" s="93"/>
      <c r="D19" s="93">
        <v>3000</v>
      </c>
      <c r="E19" s="93"/>
      <c r="F19" s="93"/>
      <c r="G19" s="169" t="s">
        <v>1191</v>
      </c>
    </row>
    <row r="20" spans="1:7" x14ac:dyDescent="0.25">
      <c r="A20" s="92"/>
      <c r="B20" s="452">
        <v>45673</v>
      </c>
      <c r="C20" s="93"/>
      <c r="D20" s="93">
        <v>720</v>
      </c>
      <c r="E20" s="93"/>
      <c r="F20" s="93"/>
      <c r="G20" s="169" t="s">
        <v>1192</v>
      </c>
    </row>
    <row r="21" spans="1:7" x14ac:dyDescent="0.25">
      <c r="A21" s="92"/>
      <c r="B21" s="452">
        <v>45673</v>
      </c>
      <c r="C21" s="93"/>
      <c r="D21" s="93">
        <v>1600</v>
      </c>
      <c r="E21" s="93"/>
      <c r="F21" s="93"/>
      <c r="G21" s="169" t="s">
        <v>1193</v>
      </c>
    </row>
    <row r="22" spans="1:7" x14ac:dyDescent="0.25">
      <c r="A22" s="92"/>
      <c r="B22" s="452">
        <v>45673</v>
      </c>
      <c r="C22" s="93"/>
      <c r="D22" s="93">
        <v>160</v>
      </c>
      <c r="E22" s="93"/>
      <c r="F22" s="93"/>
      <c r="G22" s="169" t="s">
        <v>1194</v>
      </c>
    </row>
    <row r="23" spans="1:7" x14ac:dyDescent="0.25">
      <c r="A23" s="92"/>
      <c r="B23" s="452">
        <v>45673</v>
      </c>
      <c r="C23" s="93"/>
      <c r="D23" s="93">
        <v>40</v>
      </c>
      <c r="E23" s="93"/>
      <c r="F23" s="93"/>
      <c r="G23" s="169" t="s">
        <v>1195</v>
      </c>
    </row>
    <row r="24" spans="1:7" x14ac:dyDescent="0.25">
      <c r="A24" s="92"/>
      <c r="B24" s="452">
        <v>45673</v>
      </c>
      <c r="C24" s="93"/>
      <c r="D24" s="93">
        <v>380</v>
      </c>
      <c r="E24" s="93"/>
      <c r="F24" s="93"/>
      <c r="G24" s="169" t="s">
        <v>1196</v>
      </c>
    </row>
    <row r="25" spans="1:7" x14ac:dyDescent="0.25">
      <c r="A25" s="92"/>
      <c r="B25" s="452">
        <v>45673</v>
      </c>
      <c r="C25" s="93"/>
      <c r="D25" s="93">
        <v>950</v>
      </c>
      <c r="E25" s="93"/>
      <c r="F25" s="93"/>
      <c r="G25" s="169" t="s">
        <v>1197</v>
      </c>
    </row>
    <row r="26" spans="1:7" x14ac:dyDescent="0.25">
      <c r="A26" s="92"/>
      <c r="B26" s="452">
        <v>45673</v>
      </c>
      <c r="C26" s="93"/>
      <c r="D26" s="93">
        <v>900</v>
      </c>
      <c r="E26" s="93"/>
      <c r="F26" s="93"/>
      <c r="G26" s="169" t="s">
        <v>783</v>
      </c>
    </row>
    <row r="27" spans="1:7" x14ac:dyDescent="0.25">
      <c r="A27" s="92"/>
      <c r="B27" s="452">
        <v>45673</v>
      </c>
      <c r="C27" s="93"/>
      <c r="D27" s="93">
        <v>60</v>
      </c>
      <c r="E27" s="93"/>
      <c r="F27" s="93"/>
      <c r="G27" s="169" t="s">
        <v>1198</v>
      </c>
    </row>
    <row r="28" spans="1:7" x14ac:dyDescent="0.25">
      <c r="A28" s="92"/>
      <c r="B28" s="452">
        <v>45673</v>
      </c>
      <c r="C28" s="93"/>
      <c r="D28" s="93">
        <v>600</v>
      </c>
      <c r="E28" s="93"/>
      <c r="F28" s="93"/>
      <c r="G28" s="169" t="s">
        <v>1199</v>
      </c>
    </row>
    <row r="29" spans="1:7" x14ac:dyDescent="0.25">
      <c r="A29" s="92"/>
      <c r="B29" s="452">
        <v>45673</v>
      </c>
      <c r="C29" s="93"/>
      <c r="D29" s="93">
        <v>125</v>
      </c>
      <c r="E29" s="93"/>
      <c r="F29" s="93"/>
      <c r="G29" s="169" t="s">
        <v>1200</v>
      </c>
    </row>
    <row r="30" spans="1:7" x14ac:dyDescent="0.25">
      <c r="A30" s="92"/>
      <c r="B30" s="452">
        <v>45673</v>
      </c>
      <c r="C30" s="93"/>
      <c r="D30" s="93">
        <v>500</v>
      </c>
      <c r="E30" s="93"/>
      <c r="F30" s="93"/>
      <c r="G30" s="169" t="s">
        <v>1142</v>
      </c>
    </row>
    <row r="31" spans="1:7" x14ac:dyDescent="0.25">
      <c r="A31" s="92"/>
      <c r="B31" s="452">
        <v>45673</v>
      </c>
      <c r="C31" s="93"/>
      <c r="D31" s="93">
        <v>100</v>
      </c>
      <c r="E31" s="93"/>
      <c r="F31" s="93"/>
      <c r="G31" s="169" t="s">
        <v>1201</v>
      </c>
    </row>
    <row r="32" spans="1:7" x14ac:dyDescent="0.25">
      <c r="A32" s="92"/>
      <c r="B32" s="452">
        <v>45673</v>
      </c>
      <c r="C32" s="93"/>
      <c r="D32" s="93">
        <v>50</v>
      </c>
      <c r="E32" s="93"/>
      <c r="F32" s="93"/>
      <c r="G32" s="169" t="s">
        <v>1202</v>
      </c>
    </row>
    <row r="33" spans="1:7" x14ac:dyDescent="0.25">
      <c r="A33" s="92"/>
      <c r="B33" s="452">
        <v>45673</v>
      </c>
      <c r="C33" s="93"/>
      <c r="D33" s="93">
        <v>1500</v>
      </c>
      <c r="E33" s="93"/>
      <c r="F33" s="93"/>
      <c r="G33" s="169" t="s">
        <v>1203</v>
      </c>
    </row>
    <row r="34" spans="1:7" x14ac:dyDescent="0.25">
      <c r="A34" s="92"/>
      <c r="B34" s="452">
        <v>45673</v>
      </c>
      <c r="C34" s="93"/>
      <c r="D34" s="93">
        <v>600</v>
      </c>
      <c r="E34" s="93"/>
      <c r="F34" s="93"/>
      <c r="G34" s="169" t="s">
        <v>1204</v>
      </c>
    </row>
    <row r="35" spans="1:7" x14ac:dyDescent="0.25">
      <c r="A35" s="92"/>
      <c r="B35" s="452">
        <v>45673</v>
      </c>
      <c r="C35" s="93"/>
      <c r="D35" s="93">
        <v>13000</v>
      </c>
      <c r="E35" s="93"/>
      <c r="F35" s="93"/>
      <c r="G35" s="169" t="s">
        <v>1205</v>
      </c>
    </row>
    <row r="36" spans="1:7" x14ac:dyDescent="0.25">
      <c r="A36" s="92"/>
      <c r="B36" s="452">
        <v>45673</v>
      </c>
      <c r="C36" s="93"/>
      <c r="D36" s="93">
        <v>1500</v>
      </c>
      <c r="E36" s="93"/>
      <c r="F36" s="93"/>
      <c r="G36" s="169" t="s">
        <v>1206</v>
      </c>
    </row>
    <row r="37" spans="1:7" x14ac:dyDescent="0.25">
      <c r="A37" s="92"/>
      <c r="B37" s="452">
        <v>45673</v>
      </c>
      <c r="C37" s="93"/>
      <c r="D37" s="93">
        <v>250</v>
      </c>
      <c r="E37" s="93"/>
      <c r="F37" s="93"/>
      <c r="G37" s="169" t="s">
        <v>1207</v>
      </c>
    </row>
    <row r="38" spans="1:7" x14ac:dyDescent="0.25">
      <c r="A38" s="92"/>
      <c r="B38" s="452">
        <v>45673</v>
      </c>
      <c r="C38" s="93"/>
      <c r="D38" s="93">
        <v>8100</v>
      </c>
      <c r="E38" s="93"/>
      <c r="F38" s="93"/>
      <c r="G38" s="169" t="s">
        <v>1208</v>
      </c>
    </row>
    <row r="39" spans="1:7" x14ac:dyDescent="0.25">
      <c r="A39" s="92"/>
      <c r="B39" s="452">
        <v>45673</v>
      </c>
      <c r="C39" s="93"/>
      <c r="D39" s="93">
        <v>6000</v>
      </c>
      <c r="E39" s="93"/>
      <c r="F39" s="93"/>
      <c r="G39" s="169" t="s">
        <v>1209</v>
      </c>
    </row>
    <row r="40" spans="1:7" x14ac:dyDescent="0.25">
      <c r="A40" s="92"/>
      <c r="B40" s="452">
        <v>45673</v>
      </c>
      <c r="C40" s="93"/>
      <c r="D40" s="93">
        <v>2500</v>
      </c>
      <c r="E40" s="93"/>
      <c r="F40" s="93"/>
      <c r="G40" s="169" t="s">
        <v>1210</v>
      </c>
    </row>
    <row r="41" spans="1:7" x14ac:dyDescent="0.25">
      <c r="A41" s="92"/>
      <c r="B41" s="452">
        <v>45698</v>
      </c>
      <c r="C41" s="93"/>
      <c r="D41" s="93"/>
      <c r="E41" s="93"/>
      <c r="F41" s="481">
        <v>12785</v>
      </c>
      <c r="G41" s="482" t="s">
        <v>1240</v>
      </c>
    </row>
    <row r="42" spans="1:7" x14ac:dyDescent="0.25">
      <c r="A42" s="92"/>
      <c r="B42" s="452">
        <v>45698</v>
      </c>
      <c r="C42" s="93"/>
      <c r="D42" s="93"/>
      <c r="E42" s="93"/>
      <c r="F42" s="481">
        <v>10250</v>
      </c>
      <c r="G42" s="482" t="s">
        <v>1241</v>
      </c>
    </row>
    <row r="43" spans="1:7" ht="30" x14ac:dyDescent="0.25">
      <c r="A43" s="92"/>
      <c r="B43" s="453" t="s">
        <v>1242</v>
      </c>
      <c r="C43" s="93"/>
      <c r="D43" s="93"/>
      <c r="E43" s="93"/>
      <c r="F43" s="223">
        <f>SUM(F4:F42)</f>
        <v>73035</v>
      </c>
      <c r="G43" s="169" t="s">
        <v>1243</v>
      </c>
    </row>
    <row r="44" spans="1:7" x14ac:dyDescent="0.25">
      <c r="A44" s="92"/>
      <c r="B44" s="453" t="s">
        <v>719</v>
      </c>
      <c r="C44" s="318">
        <f>SUM(C4:C7)</f>
        <v>93035</v>
      </c>
      <c r="D44" s="318">
        <f>SUM(D9:D40)</f>
        <v>93035</v>
      </c>
      <c r="E44" s="93"/>
      <c r="F44" s="93"/>
      <c r="G44" s="298" t="s">
        <v>1212</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1221</v>
      </c>
    </row>
    <row r="49" spans="1:4" ht="15.75" thickBot="1" x14ac:dyDescent="0.3"/>
    <row r="50" spans="1:4" x14ac:dyDescent="0.25">
      <c r="A50" s="455"/>
      <c r="B50" s="456" t="s">
        <v>1222</v>
      </c>
      <c r="C50" s="457">
        <f>C44</f>
        <v>93035</v>
      </c>
      <c r="D50" s="458"/>
    </row>
    <row r="51" spans="1:4" ht="15.75" thickBot="1" x14ac:dyDescent="0.3">
      <c r="A51" s="459"/>
      <c r="B51" s="460" t="s">
        <v>1223</v>
      </c>
      <c r="C51" s="461"/>
      <c r="D51" s="462">
        <f>D44</f>
        <v>93035</v>
      </c>
    </row>
    <row r="52" spans="1:4" ht="15.75" thickBot="1" x14ac:dyDescent="0.3"/>
    <row r="53" spans="1:4" x14ac:dyDescent="0.25">
      <c r="A53" s="455"/>
      <c r="B53" s="456" t="s">
        <v>1244</v>
      </c>
      <c r="C53" s="457">
        <f>C5+C7</f>
        <v>23035</v>
      </c>
      <c r="D53" s="458" t="s">
        <v>1226</v>
      </c>
    </row>
    <row r="54" spans="1:4" ht="30.75" thickBot="1" x14ac:dyDescent="0.3">
      <c r="A54" s="459"/>
      <c r="B54" s="460" t="s">
        <v>1224</v>
      </c>
      <c r="C54" s="461">
        <f>C6</f>
        <v>20000</v>
      </c>
      <c r="D54" s="462" t="s">
        <v>1227</v>
      </c>
    </row>
    <row r="55" spans="1:4" ht="15.75" thickBot="1" x14ac:dyDescent="0.3"/>
    <row r="56" spans="1:4" ht="30.75" thickBot="1" x14ac:dyDescent="0.3">
      <c r="A56" s="463"/>
      <c r="B56" s="464" t="s">
        <v>1225</v>
      </c>
      <c r="C56" s="465">
        <f>C50-C54</f>
        <v>73035</v>
      </c>
      <c r="D56" s="466"/>
    </row>
  </sheetData>
  <mergeCells count="2">
    <mergeCell ref="C2:D2"/>
    <mergeCell ref="E2:F2"/>
  </mergeCells>
  <pageMargins left="0.7" right="0.7" top="0.75" bottom="0.75" header="0.3" footer="0.3"/>
  <pageSetup paperSize="9" orientation="portrait"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761</v>
      </c>
    </row>
    <row r="2" spans="1:6" x14ac:dyDescent="0.25">
      <c r="A2" s="92"/>
      <c r="B2" s="169"/>
      <c r="C2" s="92"/>
      <c r="D2" s="278">
        <v>2022</v>
      </c>
      <c r="E2" s="278">
        <v>2023</v>
      </c>
      <c r="F2" s="317">
        <v>2025</v>
      </c>
    </row>
    <row r="3" spans="1:6" x14ac:dyDescent="0.25">
      <c r="A3" s="92">
        <v>1</v>
      </c>
      <c r="B3" s="279" t="s">
        <v>749</v>
      </c>
      <c r="C3" s="92"/>
      <c r="D3" s="93"/>
      <c r="E3" s="93"/>
      <c r="F3" s="92"/>
    </row>
    <row r="4" spans="1:6" x14ac:dyDescent="0.25">
      <c r="A4" s="92"/>
      <c r="B4" s="169" t="s">
        <v>750</v>
      </c>
      <c r="C4" s="92"/>
      <c r="D4" s="93">
        <v>53440.9</v>
      </c>
      <c r="E4" s="280">
        <v>72875.899999999994</v>
      </c>
      <c r="F4" s="92"/>
    </row>
    <row r="5" spans="1:6" x14ac:dyDescent="0.25">
      <c r="A5" s="92"/>
      <c r="B5" s="169" t="s">
        <v>751</v>
      </c>
      <c r="C5" s="92"/>
      <c r="D5" s="93">
        <v>1500</v>
      </c>
      <c r="E5" s="280">
        <v>500</v>
      </c>
      <c r="F5" s="92"/>
    </row>
    <row r="6" spans="1:6" x14ac:dyDescent="0.25">
      <c r="A6" s="92"/>
      <c r="B6" s="169" t="s">
        <v>752</v>
      </c>
      <c r="C6" s="92"/>
      <c r="D6" s="93">
        <v>200</v>
      </c>
      <c r="E6" s="280"/>
      <c r="F6" s="92"/>
    </row>
    <row r="7" spans="1:6" x14ac:dyDescent="0.25">
      <c r="A7" s="92"/>
      <c r="B7" s="169" t="s">
        <v>753</v>
      </c>
      <c r="C7" s="92"/>
      <c r="D7" s="93">
        <v>1500</v>
      </c>
      <c r="E7" s="280">
        <v>1165</v>
      </c>
      <c r="F7" s="92"/>
    </row>
    <row r="8" spans="1:6" x14ac:dyDescent="0.25">
      <c r="A8" s="92"/>
      <c r="B8" s="169" t="s">
        <v>754</v>
      </c>
      <c r="C8" s="92"/>
      <c r="D8" s="93"/>
      <c r="E8" s="280">
        <v>335</v>
      </c>
      <c r="F8" s="92"/>
    </row>
    <row r="9" spans="1:6" x14ac:dyDescent="0.25">
      <c r="A9" s="92"/>
      <c r="B9" s="285" t="s">
        <v>755</v>
      </c>
      <c r="C9" s="92"/>
      <c r="D9" s="281">
        <f>SUM(D4:D7)</f>
        <v>56640.9</v>
      </c>
      <c r="E9" s="282">
        <f>SUM(E4:E8)</f>
        <v>74875.899999999994</v>
      </c>
      <c r="F9" s="92"/>
    </row>
    <row r="10" spans="1:6" x14ac:dyDescent="0.25">
      <c r="A10" s="92"/>
      <c r="B10" s="169"/>
      <c r="C10" s="92"/>
      <c r="D10" s="93"/>
      <c r="E10" s="280"/>
      <c r="F10" s="92"/>
    </row>
    <row r="11" spans="1:6" x14ac:dyDescent="0.25">
      <c r="A11" s="92">
        <v>2</v>
      </c>
      <c r="B11" s="285" t="s">
        <v>756</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757</v>
      </c>
      <c r="C13" s="92"/>
      <c r="D13" s="281">
        <v>600</v>
      </c>
      <c r="E13" s="280"/>
      <c r="F13" s="92"/>
    </row>
    <row r="14" spans="1:6" x14ac:dyDescent="0.25">
      <c r="A14" s="92">
        <v>5</v>
      </c>
      <c r="B14" s="285" t="s">
        <v>758</v>
      </c>
      <c r="C14" s="92"/>
      <c r="D14" s="93"/>
      <c r="E14" s="282">
        <v>95</v>
      </c>
      <c r="F14" s="92"/>
    </row>
    <row r="15" spans="1:6" x14ac:dyDescent="0.25">
      <c r="A15" s="92">
        <v>6</v>
      </c>
      <c r="B15" s="285" t="s">
        <v>759</v>
      </c>
      <c r="C15" s="92"/>
      <c r="D15" s="93"/>
      <c r="E15" s="282">
        <v>2500</v>
      </c>
      <c r="F15" s="92"/>
    </row>
    <row r="16" spans="1:6" x14ac:dyDescent="0.25">
      <c r="A16" s="92">
        <v>7</v>
      </c>
      <c r="B16" s="285" t="s">
        <v>760</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872</v>
      </c>
    </row>
    <row r="2" spans="1:6" ht="30" x14ac:dyDescent="0.25">
      <c r="A2" s="97"/>
      <c r="B2" s="290" t="s">
        <v>802</v>
      </c>
      <c r="C2" s="290" t="s">
        <v>803</v>
      </c>
      <c r="D2" s="291" t="s">
        <v>804</v>
      </c>
      <c r="E2" s="292" t="s">
        <v>805</v>
      </c>
      <c r="F2" s="290" t="s">
        <v>817</v>
      </c>
    </row>
    <row r="3" spans="1:6" ht="30" x14ac:dyDescent="0.25">
      <c r="A3" s="92">
        <v>1</v>
      </c>
      <c r="B3" s="169" t="s">
        <v>771</v>
      </c>
      <c r="C3" s="169"/>
      <c r="D3" s="93"/>
      <c r="E3" s="288">
        <v>50000</v>
      </c>
      <c r="F3" s="298" t="s">
        <v>873</v>
      </c>
    </row>
    <row r="4" spans="1:6" ht="30" x14ac:dyDescent="0.25">
      <c r="A4" s="92">
        <v>2</v>
      </c>
      <c r="B4" s="169" t="s">
        <v>772</v>
      </c>
      <c r="C4" s="169"/>
      <c r="D4" s="93"/>
      <c r="E4" s="288">
        <v>26000</v>
      </c>
      <c r="F4" s="298" t="s">
        <v>874</v>
      </c>
    </row>
    <row r="5" spans="1:6" ht="30" x14ac:dyDescent="0.25">
      <c r="A5" s="92">
        <v>3</v>
      </c>
      <c r="B5" s="169" t="s">
        <v>773</v>
      </c>
      <c r="C5" s="169"/>
      <c r="D5" s="93"/>
      <c r="E5" s="288">
        <v>28000</v>
      </c>
      <c r="F5" s="298" t="s">
        <v>875</v>
      </c>
    </row>
    <row r="6" spans="1:6" x14ac:dyDescent="0.25">
      <c r="A6" s="92"/>
      <c r="B6" s="169"/>
      <c r="C6" s="169"/>
      <c r="D6" s="93"/>
      <c r="E6" s="288"/>
      <c r="F6" s="169"/>
    </row>
    <row r="7" spans="1:6" x14ac:dyDescent="0.25">
      <c r="A7" s="92"/>
      <c r="B7" s="169" t="s">
        <v>774</v>
      </c>
      <c r="C7" s="169"/>
      <c r="D7" s="93"/>
      <c r="E7" s="289">
        <f>SUM(E3:E5)</f>
        <v>104000</v>
      </c>
      <c r="F7" s="169"/>
    </row>
    <row r="8" spans="1:6" x14ac:dyDescent="0.25">
      <c r="A8" s="92"/>
      <c r="B8" s="169"/>
      <c r="C8" s="169"/>
      <c r="D8" s="93"/>
      <c r="E8" s="288"/>
      <c r="F8" s="169"/>
    </row>
    <row r="9" spans="1:6" x14ac:dyDescent="0.25">
      <c r="A9" s="293"/>
      <c r="B9" s="290" t="s">
        <v>775</v>
      </c>
      <c r="C9" s="294"/>
      <c r="D9" s="277"/>
      <c r="E9" s="295"/>
      <c r="F9" s="294"/>
    </row>
    <row r="10" spans="1:6" x14ac:dyDescent="0.25">
      <c r="A10" s="92"/>
      <c r="B10" s="169"/>
      <c r="C10" s="169"/>
      <c r="D10" s="93"/>
      <c r="E10" s="288"/>
      <c r="F10" s="169"/>
    </row>
    <row r="11" spans="1:6" ht="45" x14ac:dyDescent="0.25">
      <c r="A11" s="92">
        <v>1</v>
      </c>
      <c r="B11" s="169" t="s">
        <v>776</v>
      </c>
      <c r="C11" s="169"/>
      <c r="D11" s="93">
        <v>36450</v>
      </c>
      <c r="E11" s="288"/>
      <c r="F11" s="169"/>
    </row>
    <row r="12" spans="1:6" x14ac:dyDescent="0.25">
      <c r="A12" s="92">
        <v>2</v>
      </c>
      <c r="B12" s="169" t="s">
        <v>777</v>
      </c>
      <c r="C12" s="169">
        <v>2</v>
      </c>
      <c r="D12" s="93">
        <v>1000</v>
      </c>
      <c r="E12" s="288"/>
      <c r="F12" s="169"/>
    </row>
    <row r="13" spans="1:6" x14ac:dyDescent="0.25">
      <c r="A13" s="92">
        <v>3</v>
      </c>
      <c r="B13" s="169" t="s">
        <v>778</v>
      </c>
      <c r="C13" s="169"/>
      <c r="D13" s="93">
        <v>1500</v>
      </c>
      <c r="E13" s="288"/>
      <c r="F13" s="169"/>
    </row>
    <row r="14" spans="1:6" x14ac:dyDescent="0.25">
      <c r="A14" s="92">
        <v>4</v>
      </c>
      <c r="B14" s="169" t="s">
        <v>779</v>
      </c>
      <c r="C14" s="169"/>
      <c r="D14" s="93">
        <v>500</v>
      </c>
      <c r="E14" s="288"/>
      <c r="F14" s="169"/>
    </row>
    <row r="15" spans="1:6" x14ac:dyDescent="0.25">
      <c r="A15" s="92">
        <v>5</v>
      </c>
      <c r="B15" s="169" t="s">
        <v>780</v>
      </c>
      <c r="C15" s="169">
        <v>6</v>
      </c>
      <c r="D15" s="93">
        <v>1600</v>
      </c>
      <c r="E15" s="288"/>
      <c r="F15" s="169"/>
    </row>
    <row r="16" spans="1:6" x14ac:dyDescent="0.25">
      <c r="A16" s="92">
        <v>6</v>
      </c>
      <c r="B16" s="169" t="s">
        <v>781</v>
      </c>
      <c r="C16" s="169">
        <v>24</v>
      </c>
      <c r="D16" s="93">
        <v>150</v>
      </c>
      <c r="E16" s="288"/>
      <c r="F16" s="169"/>
    </row>
    <row r="17" spans="1:6" x14ac:dyDescent="0.25">
      <c r="A17" s="92">
        <v>7</v>
      </c>
      <c r="B17" s="169" t="s">
        <v>782</v>
      </c>
      <c r="C17" s="169">
        <v>22</v>
      </c>
      <c r="D17" s="93">
        <v>200</v>
      </c>
      <c r="E17" s="288"/>
      <c r="F17" s="169"/>
    </row>
    <row r="18" spans="1:6" x14ac:dyDescent="0.25">
      <c r="A18" s="92">
        <v>8</v>
      </c>
      <c r="B18" s="169" t="s">
        <v>783</v>
      </c>
      <c r="C18" s="169">
        <v>3</v>
      </c>
      <c r="D18" s="93">
        <v>250</v>
      </c>
      <c r="E18" s="288"/>
      <c r="F18" s="169"/>
    </row>
    <row r="19" spans="1:6" x14ac:dyDescent="0.25">
      <c r="A19" s="92">
        <v>9</v>
      </c>
      <c r="B19" s="169" t="s">
        <v>784</v>
      </c>
      <c r="C19" s="169"/>
      <c r="D19" s="93">
        <v>25000</v>
      </c>
      <c r="E19" s="288"/>
      <c r="F19" s="169" t="s">
        <v>785</v>
      </c>
    </row>
    <row r="20" spans="1:6" x14ac:dyDescent="0.25">
      <c r="A20" s="92">
        <v>10</v>
      </c>
      <c r="B20" s="169" t="s">
        <v>786</v>
      </c>
      <c r="C20" s="169">
        <v>2</v>
      </c>
      <c r="D20" s="93">
        <v>70</v>
      </c>
      <c r="E20" s="288"/>
      <c r="F20" s="169"/>
    </row>
    <row r="21" spans="1:6" x14ac:dyDescent="0.25">
      <c r="A21" s="92">
        <v>11</v>
      </c>
      <c r="B21" s="169" t="s">
        <v>787</v>
      </c>
      <c r="C21" s="169" t="s">
        <v>788</v>
      </c>
      <c r="D21" s="93">
        <v>120</v>
      </c>
      <c r="E21" s="288"/>
      <c r="F21" s="169"/>
    </row>
    <row r="22" spans="1:6" x14ac:dyDescent="0.25">
      <c r="A22" s="92">
        <v>12</v>
      </c>
      <c r="B22" s="169" t="s">
        <v>789</v>
      </c>
      <c r="C22" s="169">
        <v>1</v>
      </c>
      <c r="D22" s="93">
        <v>150</v>
      </c>
      <c r="E22" s="288"/>
      <c r="F22" s="169"/>
    </row>
    <row r="23" spans="1:6" x14ac:dyDescent="0.25">
      <c r="A23" s="92">
        <v>13</v>
      </c>
      <c r="B23" s="169" t="s">
        <v>790</v>
      </c>
      <c r="C23" s="169"/>
      <c r="D23" s="93">
        <v>200</v>
      </c>
      <c r="E23" s="288"/>
      <c r="F23" s="169"/>
    </row>
    <row r="24" spans="1:6" x14ac:dyDescent="0.25">
      <c r="A24" s="92">
        <v>14</v>
      </c>
      <c r="B24" s="169" t="s">
        <v>791</v>
      </c>
      <c r="C24" s="169"/>
      <c r="D24" s="93">
        <v>300</v>
      </c>
      <c r="E24" s="288"/>
      <c r="F24" s="169"/>
    </row>
    <row r="25" spans="1:6" x14ac:dyDescent="0.25">
      <c r="A25" s="92">
        <v>15</v>
      </c>
      <c r="B25" s="169" t="s">
        <v>792</v>
      </c>
      <c r="C25" s="169"/>
      <c r="D25" s="93">
        <v>4000</v>
      </c>
      <c r="E25" s="288"/>
      <c r="F25" s="169"/>
    </row>
    <row r="26" spans="1:6" x14ac:dyDescent="0.25">
      <c r="A26" s="92">
        <v>16</v>
      </c>
      <c r="B26" s="169" t="s">
        <v>793</v>
      </c>
      <c r="C26" s="169"/>
      <c r="D26" s="93">
        <v>11000</v>
      </c>
      <c r="E26" s="288"/>
      <c r="F26" s="169"/>
    </row>
    <row r="27" spans="1:6" x14ac:dyDescent="0.25">
      <c r="A27" s="92">
        <v>17</v>
      </c>
      <c r="B27" s="169" t="s">
        <v>794</v>
      </c>
      <c r="C27" s="169"/>
      <c r="D27" s="93">
        <v>1200</v>
      </c>
      <c r="E27" s="288"/>
      <c r="F27" s="169"/>
    </row>
    <row r="28" spans="1:6" x14ac:dyDescent="0.25">
      <c r="A28" s="92">
        <v>18</v>
      </c>
      <c r="B28" s="169" t="s">
        <v>795</v>
      </c>
      <c r="C28" s="169">
        <v>36</v>
      </c>
      <c r="D28" s="93">
        <v>3330</v>
      </c>
      <c r="E28" s="288"/>
      <c r="F28" s="169"/>
    </row>
    <row r="29" spans="1:6" x14ac:dyDescent="0.25">
      <c r="A29" s="92">
        <v>19</v>
      </c>
      <c r="B29" s="169" t="s">
        <v>796</v>
      </c>
      <c r="C29" s="169"/>
      <c r="D29" s="93">
        <v>2600</v>
      </c>
      <c r="E29" s="288"/>
      <c r="F29" s="169"/>
    </row>
    <row r="30" spans="1:6" x14ac:dyDescent="0.25">
      <c r="A30" s="92">
        <v>20</v>
      </c>
      <c r="B30" s="169" t="s">
        <v>797</v>
      </c>
      <c r="C30" s="169">
        <v>225</v>
      </c>
      <c r="D30" s="93">
        <v>2650</v>
      </c>
      <c r="E30" s="288"/>
      <c r="F30" s="169"/>
    </row>
    <row r="31" spans="1:6" x14ac:dyDescent="0.25">
      <c r="A31" s="92">
        <v>21</v>
      </c>
      <c r="B31" s="169" t="s">
        <v>798</v>
      </c>
      <c r="C31" s="169">
        <v>100</v>
      </c>
      <c r="D31" s="93">
        <v>750</v>
      </c>
      <c r="E31" s="288"/>
      <c r="F31" s="169"/>
    </row>
    <row r="32" spans="1:6" x14ac:dyDescent="0.25">
      <c r="A32" s="92">
        <v>22</v>
      </c>
      <c r="B32" s="169" t="s">
        <v>799</v>
      </c>
      <c r="C32" s="169">
        <v>100</v>
      </c>
      <c r="D32" s="93">
        <v>200</v>
      </c>
      <c r="E32" s="288"/>
      <c r="F32" s="169"/>
    </row>
    <row r="33" spans="1:6" x14ac:dyDescent="0.25">
      <c r="A33" s="92">
        <v>23</v>
      </c>
      <c r="B33" s="169" t="s">
        <v>800</v>
      </c>
      <c r="C33" s="169">
        <v>35</v>
      </c>
      <c r="D33" s="93">
        <v>460</v>
      </c>
      <c r="E33" s="288"/>
      <c r="F33" s="169"/>
    </row>
    <row r="34" spans="1:6" x14ac:dyDescent="0.25">
      <c r="A34" s="92">
        <v>24</v>
      </c>
      <c r="B34" s="169" t="s">
        <v>818</v>
      </c>
      <c r="C34" s="169"/>
      <c r="D34" s="93">
        <v>700</v>
      </c>
      <c r="E34" s="288"/>
      <c r="F34" s="169"/>
    </row>
    <row r="35" spans="1:6" x14ac:dyDescent="0.25">
      <c r="A35" s="92"/>
      <c r="B35" s="169"/>
      <c r="C35" s="169"/>
      <c r="D35" s="93"/>
      <c r="E35" s="288"/>
      <c r="F35" s="169"/>
    </row>
    <row r="36" spans="1:6" x14ac:dyDescent="0.25">
      <c r="A36" s="293"/>
      <c r="B36" s="290" t="s">
        <v>801</v>
      </c>
      <c r="C36" s="294"/>
      <c r="D36" s="296">
        <f>SUM(D3:D34)</f>
        <v>94380</v>
      </c>
      <c r="E36" s="291">
        <f>E7</f>
        <v>104000</v>
      </c>
      <c r="F36" s="294"/>
    </row>
    <row r="37" spans="1:6" x14ac:dyDescent="0.25">
      <c r="A37" s="92"/>
      <c r="B37" s="169"/>
      <c r="C37" s="169"/>
      <c r="D37" s="93"/>
      <c r="E37" s="288"/>
      <c r="F37" s="169"/>
    </row>
    <row r="38" spans="1:6" ht="30" x14ac:dyDescent="0.25">
      <c r="A38" s="92"/>
      <c r="B38" s="169" t="s">
        <v>806</v>
      </c>
      <c r="C38" s="169"/>
      <c r="D38" s="93">
        <v>9620</v>
      </c>
      <c r="E38" s="288"/>
      <c r="F38" s="298" t="s">
        <v>876</v>
      </c>
    </row>
    <row r="39" spans="1:6" x14ac:dyDescent="0.25">
      <c r="A39" s="92"/>
      <c r="B39" s="169"/>
      <c r="C39" s="169"/>
      <c r="D39" s="93"/>
      <c r="E39" s="288"/>
      <c r="F39" s="169"/>
    </row>
    <row r="40" spans="1:6" x14ac:dyDescent="0.25">
      <c r="A40" s="293"/>
      <c r="B40" s="294"/>
      <c r="C40" s="294"/>
      <c r="D40" s="277">
        <f>D36+D38</f>
        <v>104000</v>
      </c>
      <c r="E40" s="295">
        <f>E36</f>
        <v>104000</v>
      </c>
      <c r="F40" s="294" t="s">
        <v>807</v>
      </c>
    </row>
    <row r="41" spans="1:6" x14ac:dyDescent="0.25">
      <c r="A41" s="92"/>
      <c r="B41" s="169"/>
      <c r="C41" s="169"/>
      <c r="D41" s="93"/>
      <c r="E41" s="288"/>
      <c r="F41" s="169"/>
    </row>
    <row r="42" spans="1:6" x14ac:dyDescent="0.25">
      <c r="A42" s="293"/>
      <c r="B42" s="290" t="s">
        <v>808</v>
      </c>
      <c r="C42" s="294"/>
      <c r="D42" s="277"/>
      <c r="E42" s="295"/>
      <c r="F42" s="294"/>
    </row>
    <row r="43" spans="1:6" x14ac:dyDescent="0.25">
      <c r="A43" s="92">
        <v>1</v>
      </c>
      <c r="B43" s="169" t="s">
        <v>811</v>
      </c>
      <c r="C43" s="169"/>
      <c r="D43" s="93">
        <v>10000</v>
      </c>
      <c r="E43" s="288"/>
      <c r="F43" s="169" t="s">
        <v>877</v>
      </c>
    </row>
    <row r="44" spans="1:6" x14ac:dyDescent="0.25">
      <c r="A44" s="92">
        <v>2</v>
      </c>
      <c r="B44" s="169" t="s">
        <v>810</v>
      </c>
      <c r="C44" s="169"/>
      <c r="D44" s="93">
        <v>15000</v>
      </c>
      <c r="E44" s="288"/>
      <c r="F44" s="169" t="s">
        <v>809</v>
      </c>
    </row>
    <row r="45" spans="1:6" x14ac:dyDescent="0.25">
      <c r="A45" s="92">
        <v>3</v>
      </c>
      <c r="B45" s="169" t="s">
        <v>812</v>
      </c>
      <c r="C45" s="169"/>
      <c r="D45" s="93">
        <v>10000</v>
      </c>
      <c r="E45" s="288"/>
      <c r="F45" s="169" t="s">
        <v>877</v>
      </c>
    </row>
    <row r="46" spans="1:6" x14ac:dyDescent="0.25">
      <c r="A46" s="92">
        <v>4</v>
      </c>
      <c r="B46" s="169" t="s">
        <v>813</v>
      </c>
      <c r="C46" s="169"/>
      <c r="D46" s="93">
        <v>5000</v>
      </c>
      <c r="E46" s="288"/>
      <c r="F46" s="169" t="s">
        <v>877</v>
      </c>
    </row>
    <row r="47" spans="1:6" x14ac:dyDescent="0.25">
      <c r="A47" s="92">
        <v>5</v>
      </c>
      <c r="B47" s="169" t="s">
        <v>819</v>
      </c>
      <c r="C47" s="169"/>
      <c r="D47" s="93">
        <v>20000</v>
      </c>
      <c r="E47" s="288"/>
      <c r="F47" s="169" t="s">
        <v>820</v>
      </c>
    </row>
    <row r="48" spans="1:6" x14ac:dyDescent="0.25">
      <c r="A48" s="92">
        <v>6</v>
      </c>
      <c r="B48" s="169" t="s">
        <v>821</v>
      </c>
      <c r="C48" s="169"/>
      <c r="D48" s="93">
        <v>5000</v>
      </c>
      <c r="E48" s="288"/>
      <c r="F48" s="169"/>
    </row>
    <row r="49" spans="1:6" x14ac:dyDescent="0.25">
      <c r="A49" s="293"/>
      <c r="B49" s="290" t="s">
        <v>814</v>
      </c>
      <c r="C49" s="294"/>
      <c r="D49" s="297">
        <f>SUM(D43:D48)</f>
        <v>65000</v>
      </c>
      <c r="E49" s="295"/>
      <c r="F49" s="294"/>
    </row>
    <row r="50" spans="1:6" x14ac:dyDescent="0.25">
      <c r="A50" s="293"/>
      <c r="B50" s="290" t="s">
        <v>915</v>
      </c>
      <c r="C50" s="294"/>
      <c r="D50" s="297">
        <v>9620</v>
      </c>
      <c r="E50" s="295"/>
      <c r="F50" s="294"/>
    </row>
    <row r="51" spans="1:6" x14ac:dyDescent="0.25">
      <c r="A51" s="293"/>
      <c r="B51" s="290" t="s">
        <v>815</v>
      </c>
      <c r="C51" s="294"/>
      <c r="D51" s="297">
        <f>D36</f>
        <v>94380</v>
      </c>
      <c r="E51" s="295"/>
      <c r="F51" s="294"/>
    </row>
    <row r="52" spans="1:6" ht="14.25" customHeight="1" x14ac:dyDescent="0.25">
      <c r="A52" s="293"/>
      <c r="B52" s="290" t="s">
        <v>816</v>
      </c>
      <c r="C52" s="294"/>
      <c r="D52" s="296">
        <f>D51-D49-D50</f>
        <v>19760</v>
      </c>
      <c r="E52" s="295"/>
      <c r="F52" s="294"/>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17</vt:i4>
      </vt:variant>
      <vt:variant>
        <vt:lpstr>Named Ranges</vt:lpstr>
      </vt:variant>
      <vt:variant>
        <vt:i4>5</vt:i4>
      </vt:variant>
    </vt:vector>
  </HeadingPairs>
  <TitlesOfParts>
    <vt:vector size="22"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2024-09-14T06:34:20Z</cp:lastPrinted>
  <dcterms:created xsi:type="dcterms:W3CDTF">2021-04-20T08:54:02Z</dcterms:created>
  <dcterms:modified xsi:type="dcterms:W3CDTF">2026-01-05T06:29:25Z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